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ulator" sheetId="1" state="visible" r:id="rId1"/>
    <sheet xmlns:r="http://schemas.openxmlformats.org/officeDocument/2006/relationships" name="Scenarios" sheetId="2" state="visible" r:id="rId2"/>
    <sheet xmlns:r="http://schemas.openxmlformats.org/officeDocument/2006/relationships" name="Staffing model" sheetId="3" state="visible" r:id="rId3"/>
    <sheet xmlns:r="http://schemas.openxmlformats.org/officeDocument/2006/relationships" name="Cost registry" sheetId="4" state="visible" r:id="rId4"/>
    <sheet xmlns:r="http://schemas.openxmlformats.org/officeDocument/2006/relationships" name="Assumptions" sheetId="5" state="visible" r:id="rId5"/>
  </sheets>
  <definedNames>
    <definedName name="meals_per_day">Calculator!$C$5</definedName>
    <definedName name="num_kitchens">Calculator!$C$6</definedName>
    <definedName name="meals_per_truck">Calculator!$C$7</definedName>
    <definedName name="meals_per_dp">Calculator!$C$8</definedName>
    <definedName name="visits_per_dp_week">Calculator!$C$9</definedName>
    <definedName name="rp_days_per_week">Calculator!$C$10</definedName>
    <definedName name="dps_per_rp_day">Calculator!$C$11</definedName>
    <definedName name="buffer_factor">Calculator!$C$12</definedName>
    <definedName name="trucks_required">Calculator!$C$15</definedName>
    <definedName name="dps_required">Calculator!$C$16</definedName>
    <definedName name="dps_per_truck">Calculator!$C$17</definedName>
    <definedName name="dp_visits_required">Calculator!$C$18</definedName>
    <definedName name="dp_visits_per_rp">Calculator!$C$19</definedName>
    <definedName name="kitchen_rps">Calculator!$C$22</definedName>
    <definedName name="field_rps">Calculator!$C$23</definedName>
    <definedName name="rps_pre_buffer">Calculator!$C$24</definedName>
    <definedName name="total_rps">Calculator!$C$25</definedName>
    <definedName name="rp_to_dp_ratio">Calculator!$C$26</definedName>
    <definedName name="rp_to_truck_ratio">Calculator!$C$27</definedName>
    <definedName name="rp_salary_pm">Calculator!$C$30</definedName>
    <definedName name="rp_2w_pm">Calculator!$C$31</definedName>
    <definedName name="rp_night_cab">Calculator!$C$32</definedName>
    <definedName name="rp_buffer_cab">Calculator!$C$33</definedName>
    <definedName name="days_per_month">Calculator!$C$34</definedName>
    <definedName name="cost_salary">Calculator!$C$37</definedName>
    <definedName name="cost_2w">Calculator!$C$38</definedName>
    <definedName name="cost_night_cab">Calculator!$C$39</definedName>
    <definedName name="cost_buffer_cab">Calculator!$C$40</definedName>
    <definedName name="cost_total_monthly">Calculator!$C$41</definedName>
    <definedName name="cost_per_meal">Calculator!$C$42</definedName>
    <definedName name="cost_share">Calculator!$C$43</definedName>
    <definedName name="staff_total_headcount">'Staffing model'!$F$27</definedName>
    <definedName name="staff_total_personhrs">'Staffing model'!$G$27</definedName>
    <definedName name="staff_total_monthly">'Staffing model'!$I$27</definedName>
    <definedName name="utilities_monthly">'Staffing model'!$I$35</definedName>
    <definedName name="consumables_monthly">'Staffing model'!$I$45</definedName>
    <definedName name="food_monthly">'Staffing model'!$I$48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₹#,##0"/>
    <numFmt numFmtId="166" formatCode="₹#,##0.00"/>
  </numFmts>
  <fonts count="8">
    <font>
      <name val="Calibri"/>
      <family val="2"/>
      <color theme="1"/>
      <sz val="11"/>
      <scheme val="minor"/>
    </font>
    <font>
      <name val="Calibri"/>
      <b val="1"/>
      <color rgb="001F2937"/>
      <sz val="16"/>
    </font>
    <font>
      <name val="Calibri"/>
      <i val="1"/>
      <color rgb="006B7280"/>
      <sz val="10"/>
    </font>
    <font>
      <name val="Calibri"/>
      <b val="1"/>
      <color rgb="00111827"/>
      <sz val="12"/>
    </font>
    <font>
      <name val="Calibri"/>
      <color rgb="00111827"/>
      <sz val="11"/>
    </font>
    <font>
      <name val="Calibri"/>
      <b val="1"/>
      <color rgb="000B3D2E"/>
      <sz val="11"/>
    </font>
    <font>
      <name val="Calibri"/>
      <b val="1"/>
      <color rgb="001E3A8A"/>
      <sz val="11"/>
    </font>
    <font>
      <name val="Calibri"/>
      <b val="1"/>
      <color rgb="00111827"/>
      <sz val="11"/>
    </font>
  </fonts>
  <fills count="12">
    <fill>
      <patternFill/>
    </fill>
    <fill>
      <patternFill patternType="gray125"/>
    </fill>
    <fill>
      <patternFill patternType="solid">
        <fgColor rgb="00F3F4F6"/>
      </patternFill>
    </fill>
    <fill>
      <patternFill patternType="solid">
        <fgColor rgb="00ECFDF5"/>
      </patternFill>
    </fill>
    <fill>
      <patternFill patternType="solid">
        <fgColor rgb="00EFF6FF"/>
      </patternFill>
    </fill>
    <fill>
      <patternFill patternType="solid">
        <fgColor rgb="00FEF3C7"/>
      </patternFill>
    </fill>
    <fill>
      <patternFill patternType="solid">
        <fgColor rgb="00FFFBEB"/>
      </patternFill>
    </fill>
    <fill>
      <patternFill patternType="solid">
        <fgColor rgb="00F0FDF4"/>
      </patternFill>
    </fill>
    <fill>
      <patternFill patternType="solid">
        <fgColor rgb="00F5F3FF"/>
      </patternFill>
    </fill>
    <fill>
      <patternFill patternType="solid">
        <fgColor rgb="00FFF1F2"/>
      </patternFill>
    </fill>
    <fill>
      <patternFill patternType="solid">
        <fgColor rgb="00F9FAFB"/>
      </patternFill>
    </fill>
    <fill>
      <patternFill patternType="solid">
        <fgColor rgb="00FDF2F8"/>
      </patternFill>
    </fill>
  </fills>
  <borders count="6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3" fontId="5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2" fontId="5" fillId="3" borderId="1" applyAlignment="1" pivotButton="0" quotePrefix="0" xfId="0">
      <alignment horizontal="right" vertical="center"/>
    </xf>
    <xf numFmtId="3" fontId="6" fillId="4" borderId="1" applyAlignment="1" pivotButton="0" quotePrefix="0" xfId="0">
      <alignment horizontal="right" vertical="center"/>
    </xf>
    <xf numFmtId="164" fontId="6" fillId="4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 wrapText="1"/>
    </xf>
    <xf numFmtId="3" fontId="3" fillId="5" borderId="1" applyAlignment="1" pivotButton="0" quotePrefix="0" xfId="0">
      <alignment horizontal="right" vertical="center"/>
    </xf>
    <xf numFmtId="2" fontId="6" fillId="4" borderId="1" applyAlignment="1" pivotButton="0" quotePrefix="0" xfId="0">
      <alignment horizontal="right" vertical="center"/>
    </xf>
    <xf numFmtId="165" fontId="5" fillId="3" borderId="1" applyAlignment="1" pivotButton="0" quotePrefix="0" xfId="0">
      <alignment horizontal="right" vertical="center"/>
    </xf>
    <xf numFmtId="165" fontId="6" fillId="4" borderId="1" applyAlignment="1" pivotButton="0" quotePrefix="0" xfId="0">
      <alignment horizontal="right" vertical="center"/>
    </xf>
    <xf numFmtId="165" fontId="3" fillId="5" borderId="1" applyAlignment="1" pivotButton="0" quotePrefix="0" xfId="0">
      <alignment horizontal="right" vertical="center"/>
    </xf>
    <xf numFmtId="166" fontId="6" fillId="4" borderId="1" applyAlignment="1" pivotButton="0" quotePrefix="0" xfId="0">
      <alignment horizontal="right" vertical="center"/>
    </xf>
    <xf numFmtId="9" fontId="6" fillId="4" borderId="1" applyAlignment="1" pivotButton="0" quotePrefix="0" xfId="0">
      <alignment horizontal="right" vertical="center"/>
    </xf>
    <xf numFmtId="0" fontId="7" fillId="2" borderId="0" pivotButton="0" quotePrefix="0" xfId="0"/>
    <xf numFmtId="0" fontId="7" fillId="2" borderId="0" applyAlignment="1" pivotButton="0" quotePrefix="0" xfId="0">
      <alignment horizontal="center" vertical="center" wrapText="1"/>
    </xf>
    <xf numFmtId="0" fontId="7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1" fontId="5" fillId="3" borderId="1" applyAlignment="1" pivotButton="0" quotePrefix="0" xfId="0">
      <alignment horizontal="right" vertical="center"/>
    </xf>
    <xf numFmtId="164" fontId="5" fillId="3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left" vertical="center" wrapText="1"/>
    </xf>
    <xf numFmtId="0" fontId="4" fillId="5" borderId="1" pivotButton="0" quotePrefix="0" xfId="0"/>
    <xf numFmtId="1" fontId="3" fillId="5" borderId="1" applyAlignment="1" pivotButton="0" quotePrefix="0" xfId="0">
      <alignment horizontal="right" vertical="center"/>
    </xf>
    <xf numFmtId="0" fontId="2" fillId="5" borderId="1" pivotButton="0" quotePrefix="0" xfId="0"/>
    <xf numFmtId="166" fontId="5" fillId="3" borderId="1" applyAlignment="1" pivotButton="0" quotePrefix="0" xfId="0">
      <alignment horizontal="right" vertical="center"/>
    </xf>
    <xf numFmtId="0" fontId="0" fillId="0" borderId="4" pivotButton="0" quotePrefix="0" xfId="0"/>
    <xf numFmtId="0" fontId="0" fillId="0" borderId="5" pivotButton="0" quotePrefix="0" xfId="0"/>
    <xf numFmtId="0" fontId="7" fillId="6" borderId="0" applyAlignment="1" pivotButton="0" quotePrefix="0" xfId="0">
      <alignment horizontal="left" vertical="center" wrapText="1"/>
    </xf>
    <xf numFmtId="166" fontId="4" fillId="0" borderId="1" applyAlignment="1" pivotButton="0" quotePrefix="0" xfId="0">
      <alignment horizontal="right" vertical="center"/>
    </xf>
    <xf numFmtId="0" fontId="7" fillId="7" borderId="0" applyAlignment="1" pivotButton="0" quotePrefix="0" xfId="0">
      <alignment horizontal="left" vertical="center" wrapText="1"/>
    </xf>
    <xf numFmtId="165" fontId="4" fillId="0" borderId="1" applyAlignment="1" pivotButton="0" quotePrefix="0" xfId="0">
      <alignment horizontal="right" vertical="center"/>
    </xf>
    <xf numFmtId="0" fontId="7" fillId="4" borderId="0" applyAlignment="1" pivotButton="0" quotePrefix="0" xfId="0">
      <alignment horizontal="left" vertical="center" wrapText="1"/>
    </xf>
    <xf numFmtId="0" fontId="7" fillId="8" borderId="0" applyAlignment="1" pivotButton="0" quotePrefix="0" xfId="0">
      <alignment horizontal="left" vertical="center" wrapText="1"/>
    </xf>
    <xf numFmtId="0" fontId="7" fillId="9" borderId="0" applyAlignment="1" pivotButton="0" quotePrefix="0" xfId="0">
      <alignment horizontal="left" vertical="center" wrapText="1"/>
    </xf>
    <xf numFmtId="0" fontId="7" fillId="10" borderId="0" applyAlignment="1" pivotButton="0" quotePrefix="0" xfId="0">
      <alignment horizontal="left" vertical="center" wrapText="1"/>
    </xf>
    <xf numFmtId="0" fontId="7" fillId="11" borderId="0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E45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6" customWidth="1" min="3" max="3"/>
    <col width="12" customWidth="1" min="4" max="4"/>
    <col width="52" customWidth="1" min="5" max="5"/>
  </cols>
  <sheetData>
    <row r="1">
      <c r="B1" s="1" t="inlineStr">
        <is>
          <t>RP Effort Calculator — Food Programme</t>
        </is>
      </c>
    </row>
    <row r="2">
      <c r="B2" s="2" t="inlineStr">
        <is>
          <t>Edit only mint-green cells. Blue cells are computed. See Assumptions sheet for logic.</t>
        </is>
      </c>
    </row>
    <row r="4">
      <c r="B4" s="3" t="inlineStr">
        <is>
          <t>1. Programme scale (inputs)</t>
        </is>
      </c>
    </row>
    <row r="5">
      <c r="B5" s="4" t="inlineStr">
        <is>
          <t>Total meals served per day</t>
        </is>
      </c>
      <c r="C5" s="5" t="n">
        <v>1500</v>
      </c>
      <c r="D5" s="6" t="inlineStr">
        <is>
          <t>meals</t>
        </is>
      </c>
      <c r="E5" s="7" t="inlineStr">
        <is>
          <t>Launch: 1,500. Mid-scale: 5,000. Full: ~20,000.</t>
        </is>
      </c>
    </row>
    <row r="6">
      <c r="B6" s="4" t="inlineStr">
        <is>
          <t>Number of kitchens</t>
        </is>
      </c>
      <c r="C6" s="5" t="n">
        <v>1</v>
      </c>
      <c r="D6" s="6" t="inlineStr">
        <is>
          <t>kitchens</t>
        </is>
      </c>
      <c r="E6" s="7" t="inlineStr">
        <is>
          <t>One per geographical cluster. Cannot parallel-audit two from one RP.</t>
        </is>
      </c>
    </row>
    <row r="7">
      <c r="B7" s="4" t="inlineStr">
        <is>
          <t>Meals per truck per day</t>
        </is>
      </c>
      <c r="C7" s="5" t="n">
        <v>750</v>
      </c>
      <c r="D7" s="6" t="inlineStr">
        <is>
          <t>meals</t>
        </is>
      </c>
      <c r="E7" s="7" t="inlineStr">
        <is>
          <t>TATA Ace × 6 containers × ~125 portions. Edit if fleet changes.</t>
        </is>
      </c>
    </row>
    <row r="8">
      <c r="B8" s="4" t="inlineStr">
        <is>
          <t>Meals per DP per day (avg)</t>
        </is>
      </c>
      <c r="C8" s="5" t="n">
        <v>300</v>
      </c>
      <c r="D8" s="6" t="inlineStr">
        <is>
          <t>meals</t>
        </is>
      </c>
      <c r="E8" s="7" t="inlineStr">
        <is>
          <t>Sampark default 300; CFAR mix is 150–200. Use weighted avg.</t>
        </is>
      </c>
    </row>
    <row r="9">
      <c r="B9" s="4" t="inlineStr">
        <is>
          <t>DP visits per DP per week (RP coverage rule)</t>
        </is>
      </c>
      <c r="C9" s="5" t="n">
        <v>2</v>
      </c>
      <c r="D9" s="6" t="inlineStr">
        <is>
          <t>visits</t>
        </is>
      </c>
      <c r="E9" s="7" t="inlineStr">
        <is>
          <t>Floor for quality observation. Raise to 3 during ramp-up.</t>
        </is>
      </c>
    </row>
    <row r="10">
      <c r="B10" s="4" t="inlineStr">
        <is>
          <t>RP working days per week</t>
        </is>
      </c>
      <c r="C10" s="5" t="n">
        <v>6</v>
      </c>
      <c r="D10" s="6" t="inlineStr">
        <is>
          <t>days</t>
        </is>
      </c>
      <c r="E10" s="7" t="inlineStr">
        <is>
          <t>Sunday off. If 7-day ops, increase but rotate RPs to keep 6/each.</t>
        </is>
      </c>
    </row>
    <row r="11">
      <c r="B11" s="4" t="inlineStr">
        <is>
          <t>DPs observable per RP per day</t>
        </is>
      </c>
      <c r="C11" s="5" t="n">
        <v>6</v>
      </c>
      <c r="D11" s="6" t="inlineStr">
        <is>
          <t>DPs</t>
        </is>
      </c>
      <c r="E11" s="7" t="inlineStr">
        <is>
          <t>3 on truck-follow + 3 independent. Hard cap given a 9-hr shift.</t>
        </is>
      </c>
    </row>
    <row r="12">
      <c r="B12" s="4" t="inlineStr">
        <is>
          <t>Headroom buffer (rain, illness, leave)</t>
        </is>
      </c>
      <c r="C12" s="8" t="n">
        <v>1.1</v>
      </c>
      <c r="D12" s="6" t="inlineStr">
        <is>
          <t>×</t>
        </is>
      </c>
      <c r="E12" s="7" t="inlineStr">
        <is>
          <t>10% default. Set to 1.15 in monsoon months.</t>
        </is>
      </c>
    </row>
    <row r="14">
      <c r="B14" s="3" t="inlineStr">
        <is>
          <t>2. Programme structure (derived)</t>
        </is>
      </c>
    </row>
    <row r="15">
      <c r="B15" s="4" t="inlineStr">
        <is>
          <t>Trucks required</t>
        </is>
      </c>
      <c r="C15" s="9">
        <f>CEILING(meals_per_day/meals_per_truck,1)</f>
        <v/>
      </c>
      <c r="D15" s="6" t="inlineStr">
        <is>
          <t>trucks</t>
        </is>
      </c>
      <c r="E15" s="7" t="inlineStr">
        <is>
          <t>Fleet sizing — fed to truck-rotation logic.</t>
        </is>
      </c>
    </row>
    <row r="16">
      <c r="B16" s="4" t="inlineStr">
        <is>
          <t>DPs required</t>
        </is>
      </c>
      <c r="C16" s="9">
        <f>CEILING(meals_per_day/meals_per_dp,1)</f>
        <v/>
      </c>
      <c r="D16" s="6" t="inlineStr">
        <is>
          <t>DPs</t>
        </is>
      </c>
      <c r="E16" s="7" t="inlineStr">
        <is>
          <t>Implicit network size at this scale.</t>
        </is>
      </c>
    </row>
    <row r="17">
      <c r="B17" s="4" t="inlineStr">
        <is>
          <t>DPs per truck (avg)</t>
        </is>
      </c>
      <c r="C17" s="10">
        <f>IFERROR(dps_required/trucks_required,0)</f>
        <v/>
      </c>
      <c r="D17" s="6" t="inlineStr">
        <is>
          <t>DPs/truck</t>
        </is>
      </c>
      <c r="E17" s="7" t="inlineStr">
        <is>
          <t>FILO-loading caps this at ~3. Above 3 → add trucks.</t>
        </is>
      </c>
    </row>
    <row r="18">
      <c r="B18" s="4" t="inlineStr">
        <is>
          <t>Total DP-visits required per week</t>
        </is>
      </c>
      <c r="C18" s="9">
        <f>dps_required*visits_per_dp_week</f>
        <v/>
      </c>
      <c r="D18" s="6" t="inlineStr">
        <is>
          <t>visits/wk</t>
        </is>
      </c>
      <c r="E18" s="7" t="inlineStr">
        <is>
          <t>What the RP team must collectively deliver.</t>
        </is>
      </c>
    </row>
    <row r="19">
      <c r="B19" s="4" t="inlineStr">
        <is>
          <t>DP-visits one RP can deliver per week</t>
        </is>
      </c>
      <c r="C19" s="9">
        <f>dps_per_rp_day*rp_days_per_week</f>
        <v/>
      </c>
      <c r="D19" s="6" t="inlineStr">
        <is>
          <t>visits/wk/RP</t>
        </is>
      </c>
      <c r="E19" s="7" t="inlineStr">
        <is>
          <t>Hard ceiling per RP given the SOP timeline.</t>
        </is>
      </c>
    </row>
    <row r="21">
      <c r="B21" s="3" t="inlineStr">
        <is>
          <t>3. RP team required</t>
        </is>
      </c>
    </row>
    <row r="22">
      <c r="B22" s="4" t="inlineStr">
        <is>
          <t>Kitchen-RPs needed (one per kitchen)</t>
        </is>
      </c>
      <c r="C22" s="9">
        <f>num_kitchens</f>
        <v/>
      </c>
      <c r="D22" s="6" t="inlineStr">
        <is>
          <t>RPs</t>
        </is>
      </c>
      <c r="E22" s="7" t="inlineStr">
        <is>
          <t>Pre-dawn audit is single-kitchen; not parallelisable per RP.</t>
        </is>
      </c>
    </row>
    <row r="23">
      <c r="B23" s="4" t="inlineStr">
        <is>
          <t>Field-RPs needed (by DP-visit load)</t>
        </is>
      </c>
      <c r="C23" s="9">
        <f>CEILING(dp_visits_required/dp_visits_per_rp,1)</f>
        <v/>
      </c>
      <c r="D23" s="6" t="inlineStr">
        <is>
          <t>RPs</t>
        </is>
      </c>
      <c r="E23" s="7" t="inlineStr">
        <is>
          <t>Each RP doubles as field-RP after kitchen-shift ends.</t>
        </is>
      </c>
    </row>
    <row r="24">
      <c r="B24" s="4" t="inlineStr">
        <is>
          <t>Total RPs before buffer</t>
        </is>
      </c>
      <c r="C24" s="9">
        <f>MAX(kitchen_rps,field_rps)</f>
        <v/>
      </c>
      <c r="D24" s="6" t="inlineStr">
        <is>
          <t>RPs</t>
        </is>
      </c>
      <c r="E24" s="7" t="inlineStr">
        <is>
          <t>Same person fills kitchen + field shifts.</t>
        </is>
      </c>
    </row>
    <row r="25">
      <c r="B25" s="11" t="inlineStr">
        <is>
          <t>Total RPs required</t>
        </is>
      </c>
      <c r="C25" s="12">
        <f>CEILING(rps_pre_buffer*buffer_factor,1)</f>
        <v/>
      </c>
      <c r="D25" s="6" t="inlineStr">
        <is>
          <t>RPs</t>
        </is>
      </c>
      <c r="E25" s="7" t="inlineStr">
        <is>
          <t>Headline number — staff to this.</t>
        </is>
      </c>
    </row>
    <row r="26">
      <c r="B26" s="4" t="inlineStr">
        <is>
          <t>RP : DP ratio</t>
        </is>
      </c>
      <c r="C26" s="13">
        <f>IFERROR(total_rps/dps_required,0)</f>
        <v/>
      </c>
      <c r="D26" s="6" t="inlineStr">
        <is>
          <t>RP per DP</t>
        </is>
      </c>
      <c r="E26" s="7" t="inlineStr">
        <is>
          <t>Sanity gauge. Launch should sit ~0.2.</t>
        </is>
      </c>
    </row>
    <row r="27">
      <c r="B27" s="4" t="inlineStr">
        <is>
          <t>RP : Truck ratio</t>
        </is>
      </c>
      <c r="C27" s="13">
        <f>IFERROR(total_rps/trucks_required,0)</f>
        <v/>
      </c>
      <c r="D27" s="6" t="inlineStr">
        <is>
          <t>RP per truck</t>
        </is>
      </c>
      <c r="E27" s="7" t="inlineStr">
        <is>
          <t>Sanity gauge. Below 0.5 means truck rotation slips.</t>
        </is>
      </c>
    </row>
    <row r="29">
      <c r="B29" s="3" t="inlineStr">
        <is>
          <t>4. RP unit costs (inputs)</t>
        </is>
      </c>
    </row>
    <row r="30">
      <c r="B30" s="4" t="inlineStr">
        <is>
          <t>RP salary per month</t>
        </is>
      </c>
      <c r="C30" s="14" t="n">
        <v>50000</v>
      </c>
      <c r="D30" s="6" t="inlineStr">
        <is>
          <t>₹/mo</t>
        </is>
      </c>
      <c r="E30" s="7" t="inlineStr">
        <is>
          <t>Mid-level field officer; Bangalore.</t>
        </is>
      </c>
    </row>
    <row r="31">
      <c r="B31" s="4" t="inlineStr">
        <is>
          <t>Two-wheeler allowance per month</t>
        </is>
      </c>
      <c r="C31" s="14" t="n">
        <v>3500</v>
      </c>
      <c r="D31" s="6" t="inlineStr">
        <is>
          <t>₹/mo</t>
        </is>
      </c>
      <c r="E31" s="7" t="inlineStr">
        <is>
          <t>Fuel + maintenance flat. Receipts filed quarterly.</t>
        </is>
      </c>
    </row>
    <row r="32">
      <c r="B32" s="4" t="inlineStr">
        <is>
          <t>Night cab per trip (01:30 home → kitchen)</t>
        </is>
      </c>
      <c r="C32" s="14" t="n">
        <v>350</v>
      </c>
      <c r="D32" s="6" t="inlineStr">
        <is>
          <t>₹</t>
        </is>
      </c>
      <c r="E32" s="7" t="inlineStr">
        <is>
          <t>Programme-paid. Hard safety floor.</t>
        </is>
      </c>
    </row>
    <row r="33">
      <c r="B33" s="4" t="inlineStr">
        <is>
          <t>Buffer cab budget per RP per month</t>
        </is>
      </c>
      <c r="C33" s="14" t="n">
        <v>3000</v>
      </c>
      <c r="D33" s="6" t="inlineStr">
        <is>
          <t>₹/mo</t>
        </is>
      </c>
      <c r="E33" s="7" t="inlineStr">
        <is>
          <t>Monsoon, illness, late-night returns at ZL discretion.</t>
        </is>
      </c>
    </row>
    <row r="34">
      <c r="B34" s="4" t="inlineStr">
        <is>
          <t>Working days per RP per month</t>
        </is>
      </c>
      <c r="C34" s="5" t="n">
        <v>26</v>
      </c>
      <c r="D34" s="6" t="inlineStr">
        <is>
          <t>days</t>
        </is>
      </c>
      <c r="E34" s="7" t="inlineStr">
        <is>
          <t>Excludes weekly off.</t>
        </is>
      </c>
    </row>
    <row r="36">
      <c r="B36" s="3" t="inlineStr">
        <is>
          <t>5. Monthly cost (derived)</t>
        </is>
      </c>
    </row>
    <row r="37">
      <c r="B37" s="4" t="inlineStr">
        <is>
          <t>Salary</t>
        </is>
      </c>
      <c r="C37" s="15">
        <f>total_rps*rp_salary_pm</f>
        <v/>
      </c>
      <c r="D37" s="6" t="inlineStr">
        <is>
          <t>₹/mo</t>
        </is>
      </c>
      <c r="E37" s="7" t="inlineStr"/>
    </row>
    <row r="38">
      <c r="B38" s="4" t="inlineStr">
        <is>
          <t>Two-wheeler allowance</t>
        </is>
      </c>
      <c r="C38" s="15">
        <f>total_rps*rp_2w_pm</f>
        <v/>
      </c>
      <c r="D38" s="6" t="inlineStr">
        <is>
          <t>₹/mo</t>
        </is>
      </c>
      <c r="E38" s="7" t="inlineStr"/>
    </row>
    <row r="39">
      <c r="B39" s="4" t="inlineStr">
        <is>
          <t>Night cabs</t>
        </is>
      </c>
      <c r="C39" s="15">
        <f>total_rps*days_per_month*rp_night_cab</f>
        <v/>
      </c>
      <c r="D39" s="6" t="inlineStr">
        <is>
          <t>₹/mo</t>
        </is>
      </c>
      <c r="E39" s="7" t="inlineStr">
        <is>
          <t>Every working day.</t>
        </is>
      </c>
    </row>
    <row r="40">
      <c r="B40" s="4" t="inlineStr">
        <is>
          <t>Buffer cabs</t>
        </is>
      </c>
      <c r="C40" s="15">
        <f>total_rps*rp_buffer_cab</f>
        <v/>
      </c>
      <c r="D40" s="6" t="inlineStr">
        <is>
          <t>₹/mo</t>
        </is>
      </c>
      <c r="E40" s="7" t="inlineStr"/>
    </row>
    <row r="41">
      <c r="B41" s="11" t="inlineStr">
        <is>
          <t>Total monthly RP cost</t>
        </is>
      </c>
      <c r="C41" s="16">
        <f>cost_salary+cost_2w+cost_night_cab+cost_buffer_cab</f>
        <v/>
      </c>
      <c r="D41" s="6" t="inlineStr">
        <is>
          <t>₹/mo</t>
        </is>
      </c>
      <c r="E41" s="7" t="inlineStr">
        <is>
          <t>Add this line to the grant budget.</t>
        </is>
      </c>
    </row>
    <row r="42">
      <c r="B42" s="4" t="inlineStr">
        <is>
          <t>RP cost per meal</t>
        </is>
      </c>
      <c r="C42" s="17">
        <f>IFERROR(cost_total_monthly/(meals_per_day*days_per_month),0)</f>
        <v/>
      </c>
      <c r="D42" s="6" t="inlineStr">
        <is>
          <t>₹/meal</t>
        </is>
      </c>
      <c r="E42" s="7" t="inlineStr">
        <is>
          <t>Useful to compare against Wipro ₹20 / Ramani ₹29.40 production cost.</t>
        </is>
      </c>
    </row>
    <row r="43">
      <c r="B43" s="4" t="inlineStr">
        <is>
          <t>RP cost as % of total opex</t>
        </is>
      </c>
      <c r="C43" s="18">
        <f>IFERROR(cost_per_meal/36.27,0)</f>
        <v/>
      </c>
      <c r="D43" s="6" t="inlineStr">
        <is>
          <t>%</t>
        </is>
      </c>
      <c r="E43" s="7" t="inlineStr">
        <is>
          <t>Denominator = Sampark all-in ₹36.27/meal. Rough only.</t>
        </is>
      </c>
    </row>
    <row r="45">
      <c r="B45" s="2" t="inlineStr">
        <is>
          <t>When inputs change, save the workbook. All blue/amber cells recalculate.</t>
        </is>
      </c>
    </row>
  </sheetData>
  <mergeCells count="8">
    <mergeCell ref="B45:E45"/>
    <mergeCell ref="B1:E1"/>
    <mergeCell ref="B4:E4"/>
    <mergeCell ref="B21:E21"/>
    <mergeCell ref="B29:E29"/>
    <mergeCell ref="B2:E2"/>
    <mergeCell ref="B36:E36"/>
    <mergeCell ref="B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F24"/>
  <sheetViews>
    <sheetView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B1" s="1" t="inlineStr">
        <is>
          <t>Pre-loaded scenarios</t>
        </is>
      </c>
    </row>
    <row r="2">
      <c r="B2" s="2" t="inlineStr">
        <is>
          <t>These are static reference points. Add columns to the right for new scenarios; do not overwrite columns C–E.</t>
        </is>
      </c>
    </row>
    <row r="4">
      <c r="B4" s="19" t="inlineStr">
        <is>
          <t>Driver</t>
        </is>
      </c>
      <c r="C4" s="20" t="inlineStr">
        <is>
          <t>Launch (Sampark)</t>
        </is>
      </c>
      <c r="D4" s="20" t="inlineStr">
        <is>
          <t>Mid-scale</t>
        </is>
      </c>
      <c r="E4" s="20" t="inlineStr">
        <is>
          <t>Full Ramani (long-term)</t>
        </is>
      </c>
    </row>
    <row r="5">
      <c r="B5" s="21" t="inlineStr">
        <is>
          <t>Inputs</t>
        </is>
      </c>
    </row>
    <row r="6">
      <c r="B6" s="4" t="inlineStr">
        <is>
          <t>Meals/day</t>
        </is>
      </c>
      <c r="C6" s="5" t="n">
        <v>1500</v>
      </c>
      <c r="D6" s="5" t="n">
        <v>5000</v>
      </c>
      <c r="E6" s="5" t="n">
        <v>20000</v>
      </c>
    </row>
    <row r="7">
      <c r="B7" s="4" t="inlineStr">
        <is>
          <t>Kitchens</t>
        </is>
      </c>
      <c r="C7" s="5" t="n">
        <v>1</v>
      </c>
      <c r="D7" s="5" t="n">
        <v>1</v>
      </c>
      <c r="E7" s="5" t="n">
        <v>2</v>
      </c>
    </row>
    <row r="8">
      <c r="B8" s="4" t="inlineStr">
        <is>
          <t>Meals/truck/day</t>
        </is>
      </c>
      <c r="C8" s="5" t="n">
        <v>750</v>
      </c>
      <c r="D8" s="5" t="n">
        <v>750</v>
      </c>
      <c r="E8" s="5" t="n">
        <v>1000</v>
      </c>
    </row>
    <row r="9">
      <c r="B9" s="4" t="inlineStr">
        <is>
          <t>Meals/DP/day</t>
        </is>
      </c>
      <c r="C9" s="5" t="n">
        <v>300</v>
      </c>
      <c r="D9" s="5" t="n">
        <v>300</v>
      </c>
      <c r="E9" s="5" t="n">
        <v>350</v>
      </c>
    </row>
    <row r="10">
      <c r="B10" s="4" t="inlineStr">
        <is>
          <t>Visits/DP/week</t>
        </is>
      </c>
      <c r="C10" s="5" t="n">
        <v>2</v>
      </c>
      <c r="D10" s="5" t="n">
        <v>2</v>
      </c>
      <c r="E10" s="5" t="n">
        <v>2</v>
      </c>
    </row>
    <row r="11">
      <c r="B11" s="4" t="inlineStr">
        <is>
          <t>RP days/week</t>
        </is>
      </c>
      <c r="C11" s="5" t="n">
        <v>6</v>
      </c>
      <c r="D11" s="5" t="n">
        <v>6</v>
      </c>
      <c r="E11" s="5" t="n">
        <v>6</v>
      </c>
    </row>
    <row r="12">
      <c r="B12" s="4" t="inlineStr">
        <is>
          <t>DPs/RP/day</t>
        </is>
      </c>
      <c r="C12" s="5" t="n">
        <v>6</v>
      </c>
      <c r="D12" s="5" t="n">
        <v>6</v>
      </c>
      <c r="E12" s="5" t="n">
        <v>6</v>
      </c>
    </row>
    <row r="13">
      <c r="B13" s="4" t="inlineStr">
        <is>
          <t>Buffer factor</t>
        </is>
      </c>
      <c r="C13" s="8" t="n">
        <v>1.1</v>
      </c>
      <c r="D13" s="8" t="n">
        <v>1.1</v>
      </c>
      <c r="E13" s="8" t="n">
        <v>1.15</v>
      </c>
    </row>
    <row r="15">
      <c r="B15" s="21" t="inlineStr">
        <is>
          <t>Derived</t>
        </is>
      </c>
    </row>
    <row r="16">
      <c r="B16" s="4" t="inlineStr">
        <is>
          <t>Trucks required</t>
        </is>
      </c>
      <c r="C16" s="9">
        <f>CEILING(C6/C8,1)</f>
        <v/>
      </c>
      <c r="D16" s="9">
        <f>CEILING(D6/D8,1)</f>
        <v/>
      </c>
      <c r="E16" s="9">
        <f>CEILING(E6/E8,1)</f>
        <v/>
      </c>
    </row>
    <row r="17">
      <c r="B17" s="4" t="inlineStr">
        <is>
          <t>DPs required</t>
        </is>
      </c>
      <c r="C17" s="9">
        <f>CEILING(C6/C9,1)</f>
        <v/>
      </c>
      <c r="D17" s="9">
        <f>CEILING(D6/D9,1)</f>
        <v/>
      </c>
      <c r="E17" s="9">
        <f>CEILING(E6/E9,1)</f>
        <v/>
      </c>
    </row>
    <row r="18">
      <c r="B18" s="4" t="inlineStr">
        <is>
          <t>DPs per truck (avg)</t>
        </is>
      </c>
      <c r="C18" s="10">
        <f>IFERROR(CEILING(C6/C9,1)/CEILING(C6/C8,1),0)</f>
        <v/>
      </c>
      <c r="D18" s="10">
        <f>IFERROR(CEILING(D6/D9,1)/CEILING(D6/D8,1),0)</f>
        <v/>
      </c>
      <c r="E18" s="10">
        <f>IFERROR(CEILING(E6/E9,1)/CEILING(E6/E8,1),0)</f>
        <v/>
      </c>
    </row>
    <row r="19">
      <c r="B19" s="4" t="inlineStr">
        <is>
          <t>DP-visits required / week</t>
        </is>
      </c>
      <c r="C19" s="9">
        <f>CEILING(C6/C9,1)*C10</f>
        <v/>
      </c>
      <c r="D19" s="9">
        <f>CEILING(D6/D9,1)*D10</f>
        <v/>
      </c>
      <c r="E19" s="9">
        <f>CEILING(E6/E9,1)*E10</f>
        <v/>
      </c>
    </row>
    <row r="20">
      <c r="B20" s="4" t="inlineStr">
        <is>
          <t>DP-visits / RP / week</t>
        </is>
      </c>
      <c r="C20" s="9">
        <f>C12*C11</f>
        <v/>
      </c>
      <c r="D20" s="9">
        <f>D12*D11</f>
        <v/>
      </c>
      <c r="E20" s="9">
        <f>E12*E11</f>
        <v/>
      </c>
    </row>
    <row r="21">
      <c r="B21" s="4" t="inlineStr">
        <is>
          <t>Kitchen-RPs</t>
        </is>
      </c>
      <c r="C21" s="9">
        <f>C7</f>
        <v/>
      </c>
      <c r="D21" s="9">
        <f>D7</f>
        <v/>
      </c>
      <c r="E21" s="9">
        <f>E7</f>
        <v/>
      </c>
    </row>
    <row r="22">
      <c r="B22" s="4" t="inlineStr">
        <is>
          <t>Field-RPs (by DP load)</t>
        </is>
      </c>
      <c r="C22" s="9">
        <f>CEILING((CEILING(C6/C9,1)*C10)/(C12*C11),1)</f>
        <v/>
      </c>
      <c r="D22" s="9">
        <f>CEILING((CEILING(D6/D9,1)*D10)/(D12*D11),1)</f>
        <v/>
      </c>
      <c r="E22" s="9">
        <f>CEILING((CEILING(E6/E9,1)*E10)/(E12*E11),1)</f>
        <v/>
      </c>
    </row>
    <row r="23">
      <c r="B23" s="4" t="inlineStr">
        <is>
          <t>RPs before buffer</t>
        </is>
      </c>
      <c r="C23" s="9">
        <f>MAX(C7,CEILING((CEILING(C6/C9,1)*C10)/(C12*C11),1))</f>
        <v/>
      </c>
      <c r="D23" s="9">
        <f>MAX(D7,CEILING((CEILING(D6/D9,1)*D10)/(D12*D11),1))</f>
        <v/>
      </c>
      <c r="E23" s="9">
        <f>MAX(E7,CEILING((CEILING(E6/E9,1)*E10)/(E12*E11),1))</f>
        <v/>
      </c>
    </row>
    <row r="24">
      <c r="B24" s="11" t="inlineStr">
        <is>
          <t>Total RPs required</t>
        </is>
      </c>
      <c r="C24" s="12">
        <f>CEILING(MAX(C7,CEILING((CEILING(C6/C9,1)*C10)/(C12*C11),1))*C13,1)</f>
        <v/>
      </c>
      <c r="D24" s="12">
        <f>CEILING(MAX(D7,CEILING((CEILING(D6/D9,1)*D10)/(D12*D11),1))*D13,1)</f>
        <v/>
      </c>
      <c r="E24" s="12">
        <f>CEILING(MAX(E7,CEILING((CEILING(E6/E9,1)*E10)/(E12*E11),1))*E13,1)</f>
        <v/>
      </c>
    </row>
  </sheetData>
  <mergeCells count="4">
    <mergeCell ref="B2:F2"/>
    <mergeCell ref="B15:F15"/>
    <mergeCell ref="B1:F1"/>
    <mergeCell ref="B5:F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51"/>
  <sheetViews>
    <sheetView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22" customWidth="1" min="3" max="3"/>
    <col width="10" customWidth="1" min="4" max="4"/>
    <col width="9" customWidth="1" min="5" max="5"/>
    <col width="10" customWidth="1" min="6" max="6"/>
    <col width="13" customWidth="1" min="7" max="7"/>
    <col width="14" customWidth="1" min="8" max="8"/>
    <col width="14" customWidth="1" min="9" max="9"/>
    <col width="28" customWidth="1" min="10" max="10"/>
  </cols>
  <sheetData>
    <row r="1">
      <c r="B1" s="1" t="inlineStr">
        <is>
          <t>Staffing model — all roles, at the scale set on the Calculator sheet</t>
        </is>
      </c>
    </row>
    <row r="2">
      <c r="B2" s="2" t="inlineStr">
        <is>
          <t>Edit mint-green cells (ratio / hrs-per-day / monthly salary) to override defaults. Headcount and cost are derived from the Calculator sheet's meals_per_day, trucks_required, dps_required, total_rps.</t>
        </is>
      </c>
    </row>
    <row r="4">
      <c r="B4" s="3" t="inlineStr">
        <is>
          <t>Inputs (auto-linked to Calculator sheet)</t>
        </is>
      </c>
    </row>
    <row r="5">
      <c r="B5" s="4" t="inlineStr">
        <is>
          <t>Meals per day</t>
        </is>
      </c>
      <c r="C5" s="9">
        <f>meals_per_day</f>
        <v/>
      </c>
    </row>
    <row r="6">
      <c r="B6" s="4" t="inlineStr">
        <is>
          <t>Kitchens</t>
        </is>
      </c>
      <c r="C6" s="9">
        <f>num_kitchens</f>
        <v/>
      </c>
    </row>
    <row r="7">
      <c r="B7" s="4" t="inlineStr">
        <is>
          <t>Trucks required</t>
        </is>
      </c>
      <c r="C7" s="9">
        <f>trucks_required</f>
        <v/>
      </c>
    </row>
    <row r="8">
      <c r="B8" s="4" t="inlineStr">
        <is>
          <t>DPs required</t>
        </is>
      </c>
      <c r="C8" s="9">
        <f>dps_required</f>
        <v/>
      </c>
    </row>
    <row r="9">
      <c r="B9" s="4" t="inlineStr">
        <is>
          <t>RPs required (from Calculator)</t>
        </is>
      </c>
      <c r="C9" s="9">
        <f>total_rps</f>
        <v/>
      </c>
    </row>
    <row r="11">
      <c r="B11" s="3" t="inlineStr">
        <is>
          <t>Per-role staffing</t>
        </is>
      </c>
    </row>
    <row r="12">
      <c r="B12" s="22" t="inlineStr">
        <is>
          <t>Role</t>
        </is>
      </c>
      <c r="C12" s="22" t="inlineStr">
        <is>
          <t>Scaling basis</t>
        </is>
      </c>
      <c r="D12" s="22" t="inlineStr">
        <is>
          <t>Ratio</t>
        </is>
      </c>
      <c r="E12" s="22" t="inlineStr">
        <is>
          <t>Hrs/day</t>
        </is>
      </c>
      <c r="F12" s="22" t="inlineStr">
        <is>
          <t>Headcount</t>
        </is>
      </c>
      <c r="G12" s="22" t="inlineStr">
        <is>
          <t>Person-hrs/day</t>
        </is>
      </c>
      <c r="H12" s="22" t="inlineStr">
        <is>
          <t>Monthly cost / person</t>
        </is>
      </c>
      <c r="I12" s="22" t="inlineStr">
        <is>
          <t>Monthly cost (total)</t>
        </is>
      </c>
      <c r="J12" s="22" t="inlineStr">
        <is>
          <t>Cost key</t>
        </is>
      </c>
    </row>
    <row r="13">
      <c r="B13" s="4" t="inlineStr">
        <is>
          <t>Programme Coordinator</t>
        </is>
      </c>
      <c r="C13" s="7" t="inlineStr">
        <is>
          <t>Fixed</t>
        </is>
      </c>
      <c r="D13" s="23" t="n">
        <v>1</v>
      </c>
      <c r="E13" s="24" t="n">
        <v>8</v>
      </c>
      <c r="F13" s="9">
        <f>D13</f>
        <v/>
      </c>
      <c r="G13" s="10">
        <f>F13*E13</f>
        <v/>
      </c>
      <c r="H13" s="14" t="n">
        <v>65000</v>
      </c>
      <c r="I13" s="15">
        <f>F13*H13</f>
        <v/>
      </c>
      <c r="J13" s="7" t="inlineStr">
        <is>
          <t>food.programme_coordinator_salary</t>
        </is>
      </c>
    </row>
    <row r="14">
      <c r="B14" s="4" t="inlineStr">
        <is>
          <t>Procurement Coordinator</t>
        </is>
      </c>
      <c r="C14" s="7" t="inlineStr">
        <is>
          <t>Fixed</t>
        </is>
      </c>
      <c r="D14" s="23" t="n">
        <v>1</v>
      </c>
      <c r="E14" s="24" t="n">
        <v>10</v>
      </c>
      <c r="F14" s="9">
        <f>D14</f>
        <v/>
      </c>
      <c r="G14" s="10">
        <f>F14*E14</f>
        <v/>
      </c>
      <c r="H14" s="14" t="n">
        <v>50000</v>
      </c>
      <c r="I14" s="15">
        <f>F14*H14</f>
        <v/>
      </c>
      <c r="J14" s="7" t="inlineStr">
        <is>
          <t>food.procurement_coordinator_salary</t>
        </is>
      </c>
    </row>
    <row r="15">
      <c r="B15" s="4" t="inlineStr">
        <is>
          <t>Delivery Coordinator</t>
        </is>
      </c>
      <c r="C15" s="7" t="inlineStr">
        <is>
          <t>Fixed</t>
        </is>
      </c>
      <c r="D15" s="23" t="n">
        <v>1</v>
      </c>
      <c r="E15" s="24" t="n">
        <v>9</v>
      </c>
      <c r="F15" s="9">
        <f>D15</f>
        <v/>
      </c>
      <c r="G15" s="10">
        <f>F15*E15</f>
        <v/>
      </c>
      <c r="H15" s="14" t="n">
        <v>30000</v>
      </c>
      <c r="I15" s="15">
        <f>F15*H15</f>
        <v/>
      </c>
      <c r="J15" s="7" t="inlineStr">
        <is>
          <t>food.delivery_coordinator_salary</t>
        </is>
      </c>
    </row>
    <row r="16">
      <c r="B16" s="4" t="inlineStr">
        <is>
          <t>Kitchen Manager</t>
        </is>
      </c>
      <c r="C16" s="7" t="inlineStr">
        <is>
          <t>1 per X meals/day</t>
        </is>
      </c>
      <c r="D16" s="5" t="n">
        <v>10000</v>
      </c>
      <c r="E16" s="24" t="n">
        <v>9</v>
      </c>
      <c r="F16" s="9">
        <f>CEILING(meals_per_day/D16,1)</f>
        <v/>
      </c>
      <c r="G16" s="10">
        <f>F16*E16</f>
        <v/>
      </c>
      <c r="H16" s="14" t="n">
        <v>55000</v>
      </c>
      <c r="I16" s="15">
        <f>F16*H16</f>
        <v/>
      </c>
      <c r="J16" s="7" t="inlineStr">
        <is>
          <t>food.kitchen_manager_salary</t>
        </is>
      </c>
    </row>
    <row r="17">
      <c r="B17" s="4" t="inlineStr">
        <is>
          <t>Warehouse Manager</t>
        </is>
      </c>
      <c r="C17" s="7" t="inlineStr">
        <is>
          <t>1 per X meals/day</t>
        </is>
      </c>
      <c r="D17" s="5" t="n">
        <v>10000</v>
      </c>
      <c r="E17" s="24" t="n">
        <v>8</v>
      </c>
      <c r="F17" s="9">
        <f>CEILING(meals_per_day/D17,1)</f>
        <v/>
      </c>
      <c r="G17" s="10">
        <f>F17*E17</f>
        <v/>
      </c>
      <c r="H17" s="14" t="n">
        <v>40000</v>
      </c>
      <c r="I17" s="15">
        <f>F17*H17</f>
        <v/>
      </c>
      <c r="J17" s="7" t="inlineStr">
        <is>
          <t>food.warehouse_manager_salary</t>
        </is>
      </c>
    </row>
    <row r="18">
      <c r="B18" s="4" t="inlineStr">
        <is>
          <t>Cook</t>
        </is>
      </c>
      <c r="C18" s="7" t="inlineStr">
        <is>
          <t>1 per X meals/day</t>
        </is>
      </c>
      <c r="D18" s="5" t="n">
        <v>1667</v>
      </c>
      <c r="E18" s="24" t="n">
        <v>4.5</v>
      </c>
      <c r="F18" s="9">
        <f>CEILING(meals_per_day/D18,1)</f>
        <v/>
      </c>
      <c r="G18" s="10">
        <f>F18*E18</f>
        <v/>
      </c>
      <c r="H18" s="14" t="n">
        <v>50000</v>
      </c>
      <c r="I18" s="15">
        <f>F18*H18</f>
        <v/>
      </c>
      <c r="J18" s="7" t="inlineStr">
        <is>
          <t>food.cook_salary</t>
        </is>
      </c>
    </row>
    <row r="19">
      <c r="B19" s="4" t="inlineStr">
        <is>
          <t>Helper Cook</t>
        </is>
      </c>
      <c r="C19" s="7" t="inlineStr">
        <is>
          <t>1 per X meals/day</t>
        </is>
      </c>
      <c r="D19" s="5" t="n">
        <v>1112</v>
      </c>
      <c r="E19" s="24" t="n">
        <v>4.5</v>
      </c>
      <c r="F19" s="9">
        <f>CEILING(meals_per_day/D19,1)</f>
        <v/>
      </c>
      <c r="G19" s="10">
        <f>F19*E19</f>
        <v/>
      </c>
      <c r="H19" s="14" t="n">
        <v>25000</v>
      </c>
      <c r="I19" s="15">
        <f>F19*H19</f>
        <v/>
      </c>
      <c r="J19" s="7" t="inlineStr">
        <is>
          <t>food.helper_cook_salary</t>
        </is>
      </c>
    </row>
    <row r="20">
      <c r="B20" s="4" t="inlineStr">
        <is>
          <t>Kitchen Loader</t>
        </is>
      </c>
      <c r="C20" s="7" t="inlineStr">
        <is>
          <t>1 per X meals/day</t>
        </is>
      </c>
      <c r="D20" s="5" t="n">
        <v>1667</v>
      </c>
      <c r="E20" s="24" t="n">
        <v>3</v>
      </c>
      <c r="F20" s="9">
        <f>CEILING(meals_per_day/D20,1)</f>
        <v/>
      </c>
      <c r="G20" s="10">
        <f>F20*E20</f>
        <v/>
      </c>
      <c r="H20" s="14" t="n">
        <v>25000</v>
      </c>
      <c r="I20" s="15">
        <f>F20*H20</f>
        <v/>
      </c>
      <c r="J20" s="7" t="inlineStr">
        <is>
          <t>food.kitchen_loader_salary</t>
        </is>
      </c>
    </row>
    <row r="21">
      <c r="B21" s="4" t="inlineStr">
        <is>
          <t>Chopping &amp; Cleaning</t>
        </is>
      </c>
      <c r="C21" s="7" t="inlineStr">
        <is>
          <t>1 per X meals/day</t>
        </is>
      </c>
      <c r="D21" s="5" t="n">
        <v>667</v>
      </c>
      <c r="E21" s="24" t="n">
        <v>8</v>
      </c>
      <c r="F21" s="9">
        <f>CEILING(meals_per_day/D21,1)</f>
        <v/>
      </c>
      <c r="G21" s="10">
        <f>F21*E21</f>
        <v/>
      </c>
      <c r="H21" s="14" t="n">
        <v>20000</v>
      </c>
      <c r="I21" s="15">
        <f>F21*H21</f>
        <v/>
      </c>
      <c r="J21" s="7" t="inlineStr">
        <is>
          <t>food.chopping_cleaning_salary</t>
        </is>
      </c>
    </row>
    <row r="22">
      <c r="B22" s="4" t="inlineStr">
        <is>
          <t>Food Loader</t>
        </is>
      </c>
      <c r="C22" s="7" t="inlineStr">
        <is>
          <t>1 per X meals/day</t>
        </is>
      </c>
      <c r="D22" s="5" t="n">
        <v>667</v>
      </c>
      <c r="E22" s="24" t="n">
        <v>4</v>
      </c>
      <c r="F22" s="9">
        <f>CEILING(meals_per_day/D22,1)</f>
        <v/>
      </c>
      <c r="G22" s="10">
        <f>F22*E22</f>
        <v/>
      </c>
      <c r="H22" s="14" t="n">
        <v>18000</v>
      </c>
      <c r="I22" s="15">
        <f>F22*H22</f>
        <v/>
      </c>
      <c r="J22" s="7" t="inlineStr">
        <is>
          <t>food.food_loader_salary</t>
        </is>
      </c>
    </row>
    <row r="23">
      <c r="B23" s="4" t="inlineStr">
        <is>
          <t>Housekeeping</t>
        </is>
      </c>
      <c r="C23" s="7" t="inlineStr">
        <is>
          <t>1 per X meals/day</t>
        </is>
      </c>
      <c r="D23" s="5" t="n">
        <v>667</v>
      </c>
      <c r="E23" s="24" t="n">
        <v>8</v>
      </c>
      <c r="F23" s="9">
        <f>CEILING(meals_per_day/D23,1)</f>
        <v/>
      </c>
      <c r="G23" s="10">
        <f>F23*E23</f>
        <v/>
      </c>
      <c r="H23" s="14" t="n">
        <v>15000</v>
      </c>
      <c r="I23" s="15">
        <f>F23*H23</f>
        <v/>
      </c>
      <c r="J23" s="7" t="inlineStr">
        <is>
          <t>food.housekeeping_salary</t>
        </is>
      </c>
    </row>
    <row r="24">
      <c r="B24" s="4" t="inlineStr">
        <is>
          <t>Truck (driver + vehicle, all-in)</t>
        </is>
      </c>
      <c r="C24" s="7" t="inlineStr">
        <is>
          <t>per truck</t>
        </is>
      </c>
      <c r="D24" s="23" t="n">
        <v>1</v>
      </c>
      <c r="E24" s="24" t="n">
        <v>5.5</v>
      </c>
      <c r="F24" s="9">
        <f>D24*trucks_required</f>
        <v/>
      </c>
      <c r="G24" s="10">
        <f>F24*E24</f>
        <v/>
      </c>
      <c r="H24" s="14" t="n">
        <v>53100</v>
      </c>
      <c r="I24" s="15">
        <f>F24*H24</f>
        <v/>
      </c>
      <c r="J24" s="7" t="inlineStr">
        <is>
          <t>food.truck_cost_per_month</t>
        </is>
      </c>
    </row>
    <row r="25">
      <c r="B25" s="4" t="inlineStr">
        <is>
          <t>DP Staff</t>
        </is>
      </c>
      <c r="C25" s="7" t="inlineStr">
        <is>
          <t>per DP</t>
        </is>
      </c>
      <c r="D25" s="23" t="n">
        <v>2</v>
      </c>
      <c r="E25" s="24" t="n">
        <v>3</v>
      </c>
      <c r="F25" s="9">
        <f>D25*dps_required</f>
        <v/>
      </c>
      <c r="G25" s="10">
        <f>F25*E25</f>
        <v/>
      </c>
      <c r="H25" s="14" t="n">
        <v>6000</v>
      </c>
      <c r="I25" s="15">
        <f>F25*H25</f>
        <v/>
      </c>
      <c r="J25" s="7" t="inlineStr">
        <is>
          <t>food.dp_staff_remuneration_per_month</t>
        </is>
      </c>
    </row>
    <row r="26">
      <c r="B26" s="4" t="inlineStr">
        <is>
          <t>Resource Person (RP)</t>
        </is>
      </c>
      <c r="C26" s="7" t="inlineStr">
        <is>
          <t>RP calculator</t>
        </is>
      </c>
      <c r="D26" s="6" t="inlineStr">
        <is>
          <t>—</t>
        </is>
      </c>
      <c r="E26" s="24" t="n">
        <v>9</v>
      </c>
      <c r="F26" s="9">
        <f>total_rps</f>
        <v/>
      </c>
      <c r="G26" s="10">
        <f>F26*E26</f>
        <v/>
      </c>
      <c r="H26" s="14" t="n">
        <v>50000</v>
      </c>
      <c r="I26" s="15">
        <f>F26*H26</f>
        <v/>
      </c>
      <c r="J26" s="7" t="inlineStr">
        <is>
          <t>rp_salary_pm (Calculator)</t>
        </is>
      </c>
    </row>
    <row r="27">
      <c r="B27" s="25" t="inlineStr">
        <is>
          <t>TOTAL — staffing</t>
        </is>
      </c>
      <c r="C27" s="26" t="inlineStr"/>
      <c r="D27" s="26" t="inlineStr"/>
      <c r="E27" s="26" t="inlineStr"/>
      <c r="F27" s="12">
        <f>SUM(F13:F26)</f>
        <v/>
      </c>
      <c r="G27" s="27">
        <f>SUM(G13:G26)</f>
        <v/>
      </c>
      <c r="H27" s="26" t="inlineStr"/>
      <c r="I27" s="16">
        <f>SUM(I13:I26)</f>
        <v/>
      </c>
      <c r="J27" s="28" t="inlineStr"/>
    </row>
    <row r="29">
      <c r="B29" s="3" t="inlineStr">
        <is>
          <t>Kitchen utility costs (per kitchen, monthly)</t>
        </is>
      </c>
    </row>
    <row r="30">
      <c r="B30" s="4" t="inlineStr">
        <is>
          <t>Electricity</t>
        </is>
      </c>
      <c r="C30" s="7" t="inlineStr">
        <is>
          <t>per kitchen</t>
        </is>
      </c>
      <c r="H30" s="14" t="n">
        <v>75000</v>
      </c>
      <c r="I30" s="15">
        <f>num_kitchens*H30</f>
        <v/>
      </c>
      <c r="J30" s="7" t="inlineStr">
        <is>
          <t>food.electricity_per_month</t>
        </is>
      </c>
    </row>
    <row r="31">
      <c r="B31" s="4" t="inlineStr">
        <is>
          <t>Water bill</t>
        </is>
      </c>
      <c r="C31" s="7" t="inlineStr">
        <is>
          <t>per kitchen</t>
        </is>
      </c>
      <c r="H31" s="14" t="n">
        <v>40000</v>
      </c>
      <c r="I31" s="15">
        <f>num_kitchens*H31</f>
        <v/>
      </c>
      <c r="J31" s="7" t="inlineStr">
        <is>
          <t>food.water_bill_per_month</t>
        </is>
      </c>
    </row>
    <row r="32">
      <c r="B32" s="4" t="inlineStr">
        <is>
          <t>Cleaning</t>
        </is>
      </c>
      <c r="C32" s="7" t="inlineStr">
        <is>
          <t>per kitchen</t>
        </is>
      </c>
      <c r="H32" s="14" t="n">
        <v>60000</v>
      </c>
      <c r="I32" s="15">
        <f>num_kitchens*H32</f>
        <v/>
      </c>
      <c r="J32" s="7" t="inlineStr">
        <is>
          <t>food.cleaning_per_month</t>
        </is>
      </c>
    </row>
    <row r="33">
      <c r="B33" s="4" t="inlineStr">
        <is>
          <t>Gas</t>
        </is>
      </c>
      <c r="C33" s="7" t="inlineStr">
        <is>
          <t>per kitchen</t>
        </is>
      </c>
      <c r="H33" s="14" t="n">
        <v>85000</v>
      </c>
      <c r="I33" s="15">
        <f>num_kitchens*H33</f>
        <v/>
      </c>
      <c r="J33" s="7" t="inlineStr">
        <is>
          <t>food.gas_per_month</t>
        </is>
      </c>
    </row>
    <row r="34">
      <c r="B34" s="4" t="inlineStr">
        <is>
          <t>Maintenance &amp; misc</t>
        </is>
      </c>
      <c r="C34" s="7" t="inlineStr">
        <is>
          <t>per kitchen</t>
        </is>
      </c>
      <c r="H34" s="14" t="n">
        <v>50000</v>
      </c>
      <c r="I34" s="15">
        <f>num_kitchens*H34</f>
        <v/>
      </c>
      <c r="J34" s="7" t="inlineStr">
        <is>
          <t>food.maintenance_per_month</t>
        </is>
      </c>
    </row>
    <row r="35">
      <c r="B35" s="25" t="inlineStr">
        <is>
          <t>Subtotal — kitchen utilities</t>
        </is>
      </c>
      <c r="I35" s="16">
        <f>SUM(I30:I34)</f>
        <v/>
      </c>
    </row>
    <row r="37">
      <c r="B37" s="3" t="inlineStr">
        <is>
          <t>DP consumables (monthly, scales with DPs and meals)</t>
        </is>
      </c>
    </row>
    <row r="38">
      <c r="B38" s="4" t="inlineStr">
        <is>
          <t>Paper plates</t>
        </is>
      </c>
      <c r="C38" s="7" t="inlineStr">
        <is>
          <t>₹1.30 × meals/day × days/month</t>
        </is>
      </c>
      <c r="D38" s="29" t="n">
        <v>1.3</v>
      </c>
      <c r="E38" s="6" t="inlineStr">
        <is>
          <t>₹/plate</t>
        </is>
      </c>
      <c r="F38" s="9">
        <f>meals_per_day*days_per_month</f>
        <v/>
      </c>
      <c r="I38" s="15">
        <f>D38*F38</f>
        <v/>
      </c>
      <c r="J38" s="7" t="inlineStr">
        <is>
          <t>food.paper_plate_cost</t>
        </is>
      </c>
    </row>
    <row r="39">
      <c r="B39" s="4" t="inlineStr">
        <is>
          <t>Dustbin covers</t>
        </is>
      </c>
      <c r="C39" s="7" t="inlineStr">
        <is>
          <t>50 covers/DP/month</t>
        </is>
      </c>
      <c r="D39" s="29" t="n">
        <v>10</v>
      </c>
      <c r="E39" s="6" t="inlineStr">
        <is>
          <t>₹/cover</t>
        </is>
      </c>
      <c r="F39" s="9">
        <f>dps_required*50</f>
        <v/>
      </c>
      <c r="I39" s="15">
        <f>D39*F39</f>
        <v/>
      </c>
      <c r="J39" s="7" t="inlineStr">
        <is>
          <t>food.dustbin_covers_per_dp_per_month</t>
        </is>
      </c>
    </row>
    <row r="40">
      <c r="B40" s="4" t="inlineStr">
        <is>
          <t>Gloves</t>
        </is>
      </c>
      <c r="C40" s="7" t="inlineStr">
        <is>
          <t>100 pairs/DP/month</t>
        </is>
      </c>
      <c r="D40" s="29" t="n">
        <v>5</v>
      </c>
      <c r="E40" s="6" t="inlineStr">
        <is>
          <t>₹/pair</t>
        </is>
      </c>
      <c r="F40" s="9">
        <f>dps_required*100</f>
        <v/>
      </c>
      <c r="I40" s="15">
        <f>D40*F40</f>
        <v/>
      </c>
      <c r="J40" s="7" t="inlineStr">
        <is>
          <t>food.gloves_per_dp_per_month</t>
        </is>
      </c>
    </row>
    <row r="41">
      <c r="B41" s="4" t="inlineStr">
        <is>
          <t>Head caps</t>
        </is>
      </c>
      <c r="C41" s="7" t="inlineStr">
        <is>
          <t>50 caps/DP/month</t>
        </is>
      </c>
      <c r="D41" s="29" t="n">
        <v>2</v>
      </c>
      <c r="E41" s="6" t="inlineStr">
        <is>
          <t>₹/cap</t>
        </is>
      </c>
      <c r="F41" s="9">
        <f>dps_required*50</f>
        <v/>
      </c>
      <c r="I41" s="15">
        <f>D41*F41</f>
        <v/>
      </c>
      <c r="J41" s="7" t="inlineStr">
        <is>
          <t>food.head_caps_per_dp_per_month</t>
        </is>
      </c>
    </row>
    <row r="42">
      <c r="B42" s="4" t="inlineStr">
        <is>
          <t>Drinking water cans</t>
        </is>
      </c>
      <c r="C42" s="7" t="inlineStr">
        <is>
          <t>50 cans/DP/month</t>
        </is>
      </c>
      <c r="D42" s="29" t="n">
        <v>30</v>
      </c>
      <c r="E42" s="6" t="inlineStr">
        <is>
          <t>₹/can</t>
        </is>
      </c>
      <c r="F42" s="9">
        <f>dps_required*50</f>
        <v/>
      </c>
      <c r="I42" s="15">
        <f>D42*F42</f>
        <v/>
      </c>
      <c r="J42" s="7" t="inlineStr">
        <is>
          <t>food.drinking_water_cans_per_dp_per_month</t>
        </is>
      </c>
    </row>
    <row r="43">
      <c r="B43" s="4" t="inlineStr">
        <is>
          <t>Aprons (annualised)</t>
        </is>
      </c>
      <c r="C43" s="7" t="inlineStr">
        <is>
          <t>2 aprons/DP/year ÷ 12</t>
        </is>
      </c>
      <c r="D43" s="29" t="n">
        <v>500</v>
      </c>
      <c r="E43" s="6" t="inlineStr">
        <is>
          <t>₹/apron</t>
        </is>
      </c>
      <c r="F43" s="9">
        <f>dps_required*2/12</f>
        <v/>
      </c>
      <c r="I43" s="15">
        <f>D43*F43</f>
        <v/>
      </c>
      <c r="J43" s="7" t="inlineStr">
        <is>
          <t>food.aprons_per_dp_per_year</t>
        </is>
      </c>
    </row>
    <row r="44">
      <c r="B44" s="4" t="inlineStr">
        <is>
          <t>Misc DP supplies</t>
        </is>
      </c>
      <c r="C44" s="7" t="inlineStr">
        <is>
          <t>Flat per DP</t>
        </is>
      </c>
      <c r="D44" s="29" t="n">
        <v>2000</v>
      </c>
      <c r="E44" s="6" t="inlineStr">
        <is>
          <t>₹/DP/mo</t>
        </is>
      </c>
      <c r="F44" s="9">
        <f>dps_required</f>
        <v/>
      </c>
      <c r="I44" s="15">
        <f>D44*F44</f>
        <v/>
      </c>
      <c r="J44" s="7" t="inlineStr">
        <is>
          <t>food.misc_per_dp_per_month</t>
        </is>
      </c>
    </row>
    <row r="45">
      <c r="B45" s="25" t="inlineStr">
        <is>
          <t>Subtotal — DP consumables</t>
        </is>
      </c>
      <c r="I45" s="16">
        <f>SUM(I38:I44)</f>
        <v/>
      </c>
    </row>
    <row r="47">
      <c r="B47" s="3" t="inlineStr">
        <is>
          <t>Food (raw material / vendor production)</t>
        </is>
      </c>
    </row>
    <row r="48">
      <c r="B48" s="4" t="inlineStr">
        <is>
          <t>Food cost per meal</t>
        </is>
      </c>
      <c r="C48" s="7" t="inlineStr">
        <is>
          <t>Sampark/Ramani ₹29.40; CFAR/Wipro ₹20.00; veg ref ₹21.91</t>
        </is>
      </c>
      <c r="D48" s="29" t="n">
        <v>29.4</v>
      </c>
      <c r="E48" s="6" t="inlineStr">
        <is>
          <t>₹/meal</t>
        </is>
      </c>
      <c r="I48" s="15">
        <f>D48*meals_per_day*days_per_month</f>
        <v/>
      </c>
      <c r="J48" s="7" t="inlineStr">
        <is>
          <t>food.cost_per_meal</t>
        </is>
      </c>
    </row>
    <row r="50">
      <c r="B50" s="25" t="inlineStr">
        <is>
          <t>GRAND TOTAL — monthly programme cost</t>
        </is>
      </c>
      <c r="C50" s="30" t="n"/>
      <c r="D50" s="30" t="n"/>
      <c r="E50" s="30" t="n"/>
      <c r="F50" s="30" t="n"/>
      <c r="G50" s="30" t="n"/>
      <c r="H50" s="31" t="n"/>
      <c r="I50" s="16">
        <f>staff_total_monthly+utilities_monthly+consumables_monthly+food_monthly</f>
        <v/>
      </c>
      <c r="J50" s="28" t="inlineStr"/>
    </row>
    <row r="51">
      <c r="B51" s="4" t="inlineStr">
        <is>
          <t>Cost per meal (all-in, monthly cost ÷ monthly meals)</t>
        </is>
      </c>
      <c r="C51" s="30" t="n"/>
      <c r="D51" s="30" t="n"/>
      <c r="E51" s="30" t="n"/>
      <c r="F51" s="30" t="n"/>
      <c r="G51" s="30" t="n"/>
      <c r="H51" s="31" t="n"/>
      <c r="I51" s="17">
        <f>IFERROR(I50/(meals_per_day*days_per_month),0)</f>
        <v/>
      </c>
    </row>
  </sheetData>
  <mergeCells count="9">
    <mergeCell ref="B29:J29"/>
    <mergeCell ref="B11:J11"/>
    <mergeCell ref="B50:H50"/>
    <mergeCell ref="B37:J37"/>
    <mergeCell ref="B1:J1"/>
    <mergeCell ref="B4:J4"/>
    <mergeCell ref="B51:H51"/>
    <mergeCell ref="B47:J47"/>
    <mergeCell ref="B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F59"/>
  <sheetViews>
    <sheetView workbookViewId="0">
      <selection activeCell="A1" sqref="A1"/>
    </sheetView>
  </sheetViews>
  <sheetFormatPr baseColWidth="8" defaultRowHeight="15"/>
  <cols>
    <col width="3" customWidth="1" min="1" max="1"/>
    <col width="46" customWidth="1" min="2" max="2"/>
    <col width="42" customWidth="1" min="3" max="3"/>
    <col width="14" customWidth="1" min="4" max="4"/>
    <col width="22" customWidth="1" min="5" max="5"/>
    <col width="55" customWidth="1" min="6" max="6"/>
  </cols>
  <sheetData>
    <row r="1">
      <c r="B1" s="1" t="inlineStr">
        <is>
          <t>Cost registry — food.* from lib/budget-costs.ts</t>
        </is>
      </c>
    </row>
    <row r="2">
      <c r="B2" s="2" t="inlineStr">
        <is>
          <t>This is a mirror, not the source. When any value changes in lib/budget-costs.ts, update this sheet AND the corresponding default on the Staffing model sheet.</t>
        </is>
      </c>
    </row>
    <row r="4">
      <c r="B4" s="22" t="inlineStr">
        <is>
          <t>Cost key</t>
        </is>
      </c>
      <c r="C4" s="22" t="inlineStr">
        <is>
          <t>Description</t>
        </is>
      </c>
      <c r="D4" s="22" t="inlineStr">
        <is>
          <t>Unit cost</t>
        </is>
      </c>
      <c r="E4" s="22" t="inlineStr">
        <is>
          <t>Unit</t>
        </is>
      </c>
      <c r="F4" s="22" t="inlineStr">
        <is>
          <t>Notes</t>
        </is>
      </c>
    </row>
    <row r="5">
      <c r="B5" s="32" t="inlineStr">
        <is>
          <t>Food cost</t>
        </is>
      </c>
    </row>
    <row r="6">
      <c r="B6" s="4" t="inlineStr">
        <is>
          <t>food.cost_per_meal</t>
        </is>
      </c>
      <c r="C6" s="4" t="inlineStr">
        <is>
          <t>Vegetarian menu reference</t>
        </is>
      </c>
      <c r="D6" s="33" t="n">
        <v>21.91</v>
      </c>
      <c r="E6" s="6" t="inlineStr">
        <is>
          <t>₹/meal</t>
        </is>
      </c>
      <c r="F6" s="7" t="inlineStr">
        <is>
          <t>Weekly avg ₹153.36 ÷ 7 days</t>
        </is>
      </c>
    </row>
    <row r="7">
      <c r="B7" s="34" t="inlineStr">
        <is>
          <t>Salaries</t>
        </is>
      </c>
    </row>
    <row r="8">
      <c r="B8" s="4" t="inlineStr">
        <is>
          <t>food.programme_coordinator_salary</t>
        </is>
      </c>
      <c r="C8" s="4" t="inlineStr">
        <is>
          <t>Programme Coordinator</t>
        </is>
      </c>
      <c r="D8" s="35" t="n">
        <v>65000</v>
      </c>
      <c r="E8" s="6" t="inlineStr">
        <is>
          <t>₹/month</t>
        </is>
      </c>
      <c r="F8" s="7" t="inlineStr"/>
    </row>
    <row r="9">
      <c r="B9" s="4" t="inlineStr">
        <is>
          <t>food.procurement_coordinator_salary</t>
        </is>
      </c>
      <c r="C9" s="4" t="inlineStr">
        <is>
          <t>Procurement Coordinator</t>
        </is>
      </c>
      <c r="D9" s="35" t="n">
        <v>50000</v>
      </c>
      <c r="E9" s="6" t="inlineStr">
        <is>
          <t>₹/month</t>
        </is>
      </c>
      <c r="F9" s="7" t="inlineStr"/>
    </row>
    <row r="10">
      <c r="B10" s="4" t="inlineStr">
        <is>
          <t>food.delivery_coordinator_salary</t>
        </is>
      </c>
      <c r="C10" s="4" t="inlineStr">
        <is>
          <t>Delivery Coordinator</t>
        </is>
      </c>
      <c r="D10" s="35" t="n">
        <v>30000</v>
      </c>
      <c r="E10" s="6" t="inlineStr">
        <is>
          <t>₹/month</t>
        </is>
      </c>
      <c r="F10" s="7" t="inlineStr"/>
    </row>
    <row r="11">
      <c r="B11" s="4" t="inlineStr">
        <is>
          <t>food.kitchen_manager_salary</t>
        </is>
      </c>
      <c r="C11" s="4" t="inlineStr">
        <is>
          <t>Kitchen Manager</t>
        </is>
      </c>
      <c r="D11" s="35" t="n">
        <v>55000</v>
      </c>
      <c r="E11" s="6" t="inlineStr">
        <is>
          <t>₹/month</t>
        </is>
      </c>
      <c r="F11" s="7" t="inlineStr"/>
    </row>
    <row r="12">
      <c r="B12" s="4" t="inlineStr">
        <is>
          <t>food.warehouse_manager_salary</t>
        </is>
      </c>
      <c r="C12" s="4" t="inlineStr">
        <is>
          <t>Warehouse Manager</t>
        </is>
      </c>
      <c r="D12" s="35" t="n">
        <v>40000</v>
      </c>
      <c r="E12" s="6" t="inlineStr">
        <is>
          <t>₹/month</t>
        </is>
      </c>
      <c r="F12" s="7" t="inlineStr"/>
    </row>
    <row r="13">
      <c r="B13" s="4" t="inlineStr">
        <is>
          <t>food.cook_salary</t>
        </is>
      </c>
      <c r="C13" s="4" t="inlineStr">
        <is>
          <t>Cook</t>
        </is>
      </c>
      <c r="D13" s="35" t="n">
        <v>50000</v>
      </c>
      <c r="E13" s="6" t="inlineStr">
        <is>
          <t>₹/month</t>
        </is>
      </c>
      <c r="F13" s="7" t="inlineStr"/>
    </row>
    <row r="14">
      <c r="B14" s="4" t="inlineStr">
        <is>
          <t>food.helper_cook_salary</t>
        </is>
      </c>
      <c r="C14" s="4" t="inlineStr">
        <is>
          <t>Helper Cook</t>
        </is>
      </c>
      <c r="D14" s="35" t="n">
        <v>25000</v>
      </c>
      <c r="E14" s="6" t="inlineStr">
        <is>
          <t>₹/month</t>
        </is>
      </c>
      <c r="F14" s="7" t="inlineStr"/>
    </row>
    <row r="15">
      <c r="B15" s="4" t="inlineStr">
        <is>
          <t>food.kitchen_loader_salary</t>
        </is>
      </c>
      <c r="C15" s="4" t="inlineStr">
        <is>
          <t>Kitchen Loader</t>
        </is>
      </c>
      <c r="D15" s="35" t="n">
        <v>25000</v>
      </c>
      <c r="E15" s="6" t="inlineStr">
        <is>
          <t>₹/month</t>
        </is>
      </c>
      <c r="F15" s="7" t="inlineStr"/>
    </row>
    <row r="16">
      <c r="B16" s="4" t="inlineStr">
        <is>
          <t>food.chopping_cleaning_salary</t>
        </is>
      </c>
      <c r="C16" s="4" t="inlineStr">
        <is>
          <t>Chopping &amp; Cleaning</t>
        </is>
      </c>
      <c r="D16" s="35" t="n">
        <v>20000</v>
      </c>
      <c r="E16" s="6" t="inlineStr">
        <is>
          <t>₹/month</t>
        </is>
      </c>
      <c r="F16" s="7" t="inlineStr"/>
    </row>
    <row r="17">
      <c r="B17" s="4" t="inlineStr">
        <is>
          <t>food.food_loader_salary</t>
        </is>
      </c>
      <c r="C17" s="4" t="inlineStr">
        <is>
          <t>Food Loader</t>
        </is>
      </c>
      <c r="D17" s="35" t="n">
        <v>18000</v>
      </c>
      <c r="E17" s="6" t="inlineStr">
        <is>
          <t>₹/month</t>
        </is>
      </c>
      <c r="F17" s="7" t="inlineStr"/>
    </row>
    <row r="18">
      <c r="B18" s="4" t="inlineStr">
        <is>
          <t>food.housekeeping_salary</t>
        </is>
      </c>
      <c r="C18" s="4" t="inlineStr">
        <is>
          <t>Housekeeping</t>
        </is>
      </c>
      <c r="D18" s="35" t="n">
        <v>15000</v>
      </c>
      <c r="E18" s="6" t="inlineStr">
        <is>
          <t>₹/month</t>
        </is>
      </c>
      <c r="F18" s="7" t="inlineStr"/>
    </row>
    <row r="19">
      <c r="B19" s="36" t="inlineStr">
        <is>
          <t>Staffing ratios</t>
        </is>
      </c>
    </row>
    <row r="20">
      <c r="B20" s="4" t="inlineStr">
        <is>
          <t>food.meals_per_kitchen_manager</t>
        </is>
      </c>
      <c r="C20" s="4" t="inlineStr">
        <is>
          <t>Meals/day per Kitchen Manager</t>
        </is>
      </c>
      <c r="D20" s="35" t="n">
        <v>10000</v>
      </c>
      <c r="E20" s="6" t="inlineStr">
        <is>
          <t>meals/day per staff</t>
        </is>
      </c>
      <c r="F20" s="7" t="inlineStr">
        <is>
          <t>1 Kitchen Mgr per 10K meals/day</t>
        </is>
      </c>
    </row>
    <row r="21">
      <c r="B21" s="4" t="inlineStr">
        <is>
          <t>food.meals_per_warehouse_manager</t>
        </is>
      </c>
      <c r="C21" s="4" t="inlineStr">
        <is>
          <t>Meals/day per Warehouse Manager</t>
        </is>
      </c>
      <c r="D21" s="35" t="n">
        <v>10000</v>
      </c>
      <c r="E21" s="6" t="inlineStr">
        <is>
          <t>meals/day per staff</t>
        </is>
      </c>
      <c r="F21" s="7" t="inlineStr">
        <is>
          <t>1 Warehouse Mgr per 10K</t>
        </is>
      </c>
    </row>
    <row r="22">
      <c r="B22" s="4" t="inlineStr">
        <is>
          <t>food.meals_per_cook</t>
        </is>
      </c>
      <c r="C22" s="4" t="inlineStr">
        <is>
          <t>Meals/day per Cook</t>
        </is>
      </c>
      <c r="D22" s="35" t="n">
        <v>1667</v>
      </c>
      <c r="E22" s="6" t="inlineStr">
        <is>
          <t>meals/day per staff</t>
        </is>
      </c>
      <c r="F22" s="7" t="inlineStr">
        <is>
          <t>6 Cooks per 10K</t>
        </is>
      </c>
    </row>
    <row r="23">
      <c r="B23" s="4" t="inlineStr">
        <is>
          <t>food.meals_per_helper_cook</t>
        </is>
      </c>
      <c r="C23" s="4" t="inlineStr">
        <is>
          <t>Meals/day per Helper Cook</t>
        </is>
      </c>
      <c r="D23" s="35" t="n">
        <v>1112</v>
      </c>
      <c r="E23" s="6" t="inlineStr">
        <is>
          <t>meals/day per staff</t>
        </is>
      </c>
      <c r="F23" s="7" t="inlineStr">
        <is>
          <t>9 Helper Cooks per 10K</t>
        </is>
      </c>
    </row>
    <row r="24">
      <c r="B24" s="4" t="inlineStr">
        <is>
          <t>food.meals_per_kitchen_loader</t>
        </is>
      </c>
      <c r="C24" s="4" t="inlineStr">
        <is>
          <t>Meals/day per Kitchen Loader</t>
        </is>
      </c>
      <c r="D24" s="35" t="n">
        <v>1667</v>
      </c>
      <c r="E24" s="6" t="inlineStr">
        <is>
          <t>meals/day per staff</t>
        </is>
      </c>
      <c r="F24" s="7" t="inlineStr">
        <is>
          <t>6 Loaders per 10K</t>
        </is>
      </c>
    </row>
    <row r="25">
      <c r="B25" s="4" t="inlineStr">
        <is>
          <t>food.meals_per_chopping_cleaning</t>
        </is>
      </c>
      <c r="C25" s="4" t="inlineStr">
        <is>
          <t>Meals/day per Chopping &amp; Cleaning</t>
        </is>
      </c>
      <c r="D25" s="35" t="n">
        <v>667</v>
      </c>
      <c r="E25" s="6" t="inlineStr">
        <is>
          <t>meals/day per staff</t>
        </is>
      </c>
      <c r="F25" s="7" t="inlineStr">
        <is>
          <t>15 per 10K</t>
        </is>
      </c>
    </row>
    <row r="26">
      <c r="B26" s="4" t="inlineStr">
        <is>
          <t>food.meals_per_food_loader</t>
        </is>
      </c>
      <c r="C26" s="4" t="inlineStr">
        <is>
          <t>Meals/day per Food Loader</t>
        </is>
      </c>
      <c r="D26" s="35" t="n">
        <v>667</v>
      </c>
      <c r="E26" s="6" t="inlineStr">
        <is>
          <t>meals/day per staff</t>
        </is>
      </c>
      <c r="F26" s="7" t="inlineStr">
        <is>
          <t>15 per 10K</t>
        </is>
      </c>
    </row>
    <row r="27">
      <c r="B27" s="4" t="inlineStr">
        <is>
          <t>food.meals_per_housekeeping</t>
        </is>
      </c>
      <c r="C27" s="4" t="inlineStr">
        <is>
          <t>Meals/day per Housekeeping</t>
        </is>
      </c>
      <c r="D27" s="35" t="n">
        <v>667</v>
      </c>
      <c r="E27" s="6" t="inlineStr">
        <is>
          <t>meals/day per staff</t>
        </is>
      </c>
      <c r="F27" s="7" t="inlineStr">
        <is>
          <t>15 per 10K</t>
        </is>
      </c>
    </row>
    <row r="28">
      <c r="B28" s="4" t="inlineStr">
        <is>
          <t>food.dp_staff_per_dp</t>
        </is>
      </c>
      <c r="C28" s="4" t="inlineStr">
        <is>
          <t>DP Staff per DP</t>
        </is>
      </c>
      <c r="D28" s="35" t="n">
        <v>2</v>
      </c>
      <c r="E28" s="6" t="inlineStr">
        <is>
          <t>staff per DP</t>
        </is>
      </c>
      <c r="F28" s="7" t="inlineStr"/>
    </row>
    <row r="29">
      <c r="B29" s="34" t="inlineStr">
        <is>
          <t>Salaries</t>
        </is>
      </c>
    </row>
    <row r="30">
      <c r="B30" s="4" t="inlineStr">
        <is>
          <t>food.dp_staff_remuneration_per_month</t>
        </is>
      </c>
      <c r="C30" s="4" t="inlineStr">
        <is>
          <t>DP Staff remuneration</t>
        </is>
      </c>
      <c r="D30" s="35" t="n">
        <v>6000</v>
      </c>
      <c r="E30" s="6" t="inlineStr">
        <is>
          <t>₹/staff/month</t>
        </is>
      </c>
      <c r="F30" s="7" t="inlineStr">
        <is>
          <t>Part-time, ~3 hrs/day</t>
        </is>
      </c>
    </row>
    <row r="31">
      <c r="B31" s="37" t="inlineStr">
        <is>
          <t>Kitchen utilities</t>
        </is>
      </c>
    </row>
    <row r="32">
      <c r="B32" s="4" t="inlineStr">
        <is>
          <t>food.electricity_per_month</t>
        </is>
      </c>
      <c r="C32" s="4" t="inlineStr">
        <is>
          <t>Electricity</t>
        </is>
      </c>
      <c r="D32" s="35" t="n">
        <v>75000</v>
      </c>
      <c r="E32" s="6" t="inlineStr">
        <is>
          <t>₹/month</t>
        </is>
      </c>
      <c r="F32" s="7" t="inlineStr"/>
    </row>
    <row r="33">
      <c r="B33" s="4" t="inlineStr">
        <is>
          <t>food.water_bill_per_month</t>
        </is>
      </c>
      <c r="C33" s="4" t="inlineStr">
        <is>
          <t>Water bill</t>
        </is>
      </c>
      <c r="D33" s="35" t="n">
        <v>40000</v>
      </c>
      <c r="E33" s="6" t="inlineStr">
        <is>
          <t>₹/month</t>
        </is>
      </c>
      <c r="F33" s="7" t="inlineStr"/>
    </row>
    <row r="34">
      <c r="B34" s="4" t="inlineStr">
        <is>
          <t>food.cleaning_per_month</t>
        </is>
      </c>
      <c r="C34" s="4" t="inlineStr">
        <is>
          <t>Cleaning (kitchen)</t>
        </is>
      </c>
      <c r="D34" s="35" t="n">
        <v>60000</v>
      </c>
      <c r="E34" s="6" t="inlineStr">
        <is>
          <t>₹/month</t>
        </is>
      </c>
      <c r="F34" s="7" t="inlineStr"/>
    </row>
    <row r="35">
      <c r="B35" s="4" t="inlineStr">
        <is>
          <t>food.gas_per_month</t>
        </is>
      </c>
      <c r="C35" s="4" t="inlineStr">
        <is>
          <t>Gas</t>
        </is>
      </c>
      <c r="D35" s="35" t="n">
        <v>85000</v>
      </c>
      <c r="E35" s="6" t="inlineStr">
        <is>
          <t>₹/month</t>
        </is>
      </c>
      <c r="F35" s="7" t="inlineStr"/>
    </row>
    <row r="36">
      <c r="B36" s="4" t="inlineStr">
        <is>
          <t>food.maintenance_per_month</t>
        </is>
      </c>
      <c r="C36" s="4" t="inlineStr">
        <is>
          <t>Maintenance &amp; misc (kitchen)</t>
        </is>
      </c>
      <c r="D36" s="35" t="n">
        <v>50000</v>
      </c>
      <c r="E36" s="6" t="inlineStr">
        <is>
          <t>₹/month</t>
        </is>
      </c>
      <c r="F36" s="7" t="inlineStr"/>
    </row>
    <row r="37">
      <c r="B37" s="38" t="inlineStr">
        <is>
          <t>Transport</t>
        </is>
      </c>
    </row>
    <row r="38">
      <c r="B38" s="4" t="inlineStr">
        <is>
          <t>food.truck_cost_per_month</t>
        </is>
      </c>
      <c r="C38" s="4" t="inlineStr">
        <is>
          <t>Truck (driver + fuel + maint + rental)</t>
        </is>
      </c>
      <c r="D38" s="35" t="n">
        <v>53100</v>
      </c>
      <c r="E38" s="6" t="inlineStr">
        <is>
          <t>₹/truck/month</t>
        </is>
      </c>
      <c r="F38" s="7" t="inlineStr">
        <is>
          <t>JustDelivery all-in</t>
        </is>
      </c>
    </row>
    <row r="39">
      <c r="B39" s="39" t="inlineStr">
        <is>
          <t>DP consumables</t>
        </is>
      </c>
    </row>
    <row r="40">
      <c r="B40" s="4" t="inlineStr">
        <is>
          <t>food.paper_plate_cost</t>
        </is>
      </c>
      <c r="C40" s="4" t="inlineStr">
        <is>
          <t>Paper plate</t>
        </is>
      </c>
      <c r="D40" s="33" t="n">
        <v>1.3</v>
      </c>
      <c r="E40" s="6" t="inlineStr">
        <is>
          <t>₹/plate</t>
        </is>
      </c>
      <c r="F40" s="7" t="inlineStr"/>
    </row>
    <row r="41">
      <c r="B41" s="4" t="inlineStr">
        <is>
          <t>food.dustbin_cover_cost</t>
        </is>
      </c>
      <c r="C41" s="4" t="inlineStr">
        <is>
          <t>Dustbin cover</t>
        </is>
      </c>
      <c r="D41" s="35" t="n">
        <v>10</v>
      </c>
      <c r="E41" s="6" t="inlineStr">
        <is>
          <t>₹/cover</t>
        </is>
      </c>
      <c r="F41" s="7" t="inlineStr"/>
    </row>
    <row r="42">
      <c r="B42" s="4" t="inlineStr">
        <is>
          <t>food.dustbin_covers_per_dp_per_month</t>
        </is>
      </c>
      <c r="C42" s="4" t="inlineStr">
        <is>
          <t>Dustbin covers per DP per month</t>
        </is>
      </c>
      <c r="D42" s="35" t="n">
        <v>50</v>
      </c>
      <c r="E42" s="6" t="inlineStr">
        <is>
          <t>covers/DP/month</t>
        </is>
      </c>
      <c r="F42" s="7" t="inlineStr"/>
    </row>
    <row r="43">
      <c r="B43" s="4" t="inlineStr">
        <is>
          <t>food.gloves_cost</t>
        </is>
      </c>
      <c r="C43" s="4" t="inlineStr">
        <is>
          <t>Gloves</t>
        </is>
      </c>
      <c r="D43" s="35" t="n">
        <v>5</v>
      </c>
      <c r="E43" s="6" t="inlineStr">
        <is>
          <t>₹/pair</t>
        </is>
      </c>
      <c r="F43" s="7" t="inlineStr"/>
    </row>
    <row r="44">
      <c r="B44" s="4" t="inlineStr">
        <is>
          <t>food.gloves_per_dp_per_month</t>
        </is>
      </c>
      <c r="C44" s="4" t="inlineStr">
        <is>
          <t>Gloves per DP per month</t>
        </is>
      </c>
      <c r="D44" s="35" t="n">
        <v>100</v>
      </c>
      <c r="E44" s="6" t="inlineStr">
        <is>
          <t>pairs/DP/month</t>
        </is>
      </c>
      <c r="F44" s="7" t="inlineStr"/>
    </row>
    <row r="45">
      <c r="B45" s="4" t="inlineStr">
        <is>
          <t>food.head_cap_cost</t>
        </is>
      </c>
      <c r="C45" s="4" t="inlineStr">
        <is>
          <t>Head cap</t>
        </is>
      </c>
      <c r="D45" s="35" t="n">
        <v>2</v>
      </c>
      <c r="E45" s="6" t="inlineStr">
        <is>
          <t>₹/cap</t>
        </is>
      </c>
      <c r="F45" s="7" t="inlineStr"/>
    </row>
    <row r="46">
      <c r="B46" s="4" t="inlineStr">
        <is>
          <t>food.head_caps_per_dp_per_month</t>
        </is>
      </c>
      <c r="C46" s="4" t="inlineStr">
        <is>
          <t>Head caps per DP per month</t>
        </is>
      </c>
      <c r="D46" s="35" t="n">
        <v>50</v>
      </c>
      <c r="E46" s="6" t="inlineStr">
        <is>
          <t>caps/DP/month</t>
        </is>
      </c>
      <c r="F46" s="7" t="inlineStr"/>
    </row>
    <row r="47">
      <c r="B47" s="4" t="inlineStr">
        <is>
          <t>food.drinking_water_can_cost</t>
        </is>
      </c>
      <c r="C47" s="4" t="inlineStr">
        <is>
          <t>Drinking water can</t>
        </is>
      </c>
      <c r="D47" s="35" t="n">
        <v>30</v>
      </c>
      <c r="E47" s="6" t="inlineStr">
        <is>
          <t>₹/can</t>
        </is>
      </c>
      <c r="F47" s="7" t="inlineStr"/>
    </row>
    <row r="48">
      <c r="B48" s="4" t="inlineStr">
        <is>
          <t>food.drinking_water_cans_per_dp_per_month</t>
        </is>
      </c>
      <c r="C48" s="4" t="inlineStr">
        <is>
          <t>Drinking water cans per DP per month</t>
        </is>
      </c>
      <c r="D48" s="35" t="n">
        <v>50</v>
      </c>
      <c r="E48" s="6" t="inlineStr">
        <is>
          <t>cans/DP/month</t>
        </is>
      </c>
      <c r="F48" s="7" t="inlineStr"/>
    </row>
    <row r="49">
      <c r="B49" s="4" t="inlineStr">
        <is>
          <t>food.apron_cost</t>
        </is>
      </c>
      <c r="C49" s="4" t="inlineStr">
        <is>
          <t>Apron</t>
        </is>
      </c>
      <c r="D49" s="35" t="n">
        <v>500</v>
      </c>
      <c r="E49" s="6" t="inlineStr">
        <is>
          <t>₹/apron</t>
        </is>
      </c>
      <c r="F49" s="7" t="inlineStr"/>
    </row>
    <row r="50">
      <c r="B50" s="4" t="inlineStr">
        <is>
          <t>food.aprons_per_dp_per_year</t>
        </is>
      </c>
      <c r="C50" s="4" t="inlineStr">
        <is>
          <t>Aprons per DP per year</t>
        </is>
      </c>
      <c r="D50" s="35" t="n">
        <v>2</v>
      </c>
      <c r="E50" s="6" t="inlineStr">
        <is>
          <t>aprons/DP/year</t>
        </is>
      </c>
      <c r="F50" s="7" t="inlineStr"/>
    </row>
    <row r="51">
      <c r="B51" s="4" t="inlineStr">
        <is>
          <t>food.misc_per_dp_per_month</t>
        </is>
      </c>
      <c r="C51" s="4" t="inlineStr">
        <is>
          <t>Misc DP supplies</t>
        </is>
      </c>
      <c r="D51" s="35" t="n">
        <v>2000</v>
      </c>
      <c r="E51" s="6" t="inlineStr">
        <is>
          <t>₹/DP/month</t>
        </is>
      </c>
      <c r="F51" s="7" t="inlineStr"/>
    </row>
    <row r="52">
      <c r="B52" s="40" t="inlineStr">
        <is>
          <t>DP capex / one-time</t>
        </is>
      </c>
    </row>
    <row r="53">
      <c r="B53" s="4" t="inlineStr">
        <is>
          <t>food.foldable_table_per_dp</t>
        </is>
      </c>
      <c r="C53" s="4" t="inlineStr">
        <is>
          <t>Foldable table</t>
        </is>
      </c>
      <c r="D53" s="35" t="n">
        <v>6000</v>
      </c>
      <c r="E53" s="6" t="inlineStr">
        <is>
          <t>₹/DP</t>
        </is>
      </c>
      <c r="F53" s="7" t="inlineStr">
        <is>
          <t>One-time</t>
        </is>
      </c>
    </row>
    <row r="54">
      <c r="B54" s="4" t="inlineStr">
        <is>
          <t>food.canopy_tent_per_dp</t>
        </is>
      </c>
      <c r="C54" s="4" t="inlineStr">
        <is>
          <t>Canopy tent</t>
        </is>
      </c>
      <c r="D54" s="35" t="n">
        <v>8000</v>
      </c>
      <c r="E54" s="6" t="inlineStr">
        <is>
          <t>₹/DP</t>
        </is>
      </c>
      <c r="F54" s="7" t="inlineStr">
        <is>
          <t>One-time</t>
        </is>
      </c>
    </row>
    <row r="55">
      <c r="B55" s="4" t="inlineStr">
        <is>
          <t>food.standee_umbrella_per_dp</t>
        </is>
      </c>
      <c r="C55" s="4" t="inlineStr">
        <is>
          <t>Standee umbrella</t>
        </is>
      </c>
      <c r="D55" s="35" t="n">
        <v>2000</v>
      </c>
      <c r="E55" s="6" t="inlineStr">
        <is>
          <t>₹/DP</t>
        </is>
      </c>
      <c r="F55" s="7" t="inlineStr">
        <is>
          <t>One-time</t>
        </is>
      </c>
    </row>
    <row r="56">
      <c r="B56" s="4" t="inlineStr">
        <is>
          <t>food.water_container_cost</t>
        </is>
      </c>
      <c r="C56" s="4" t="inlineStr">
        <is>
          <t>Water container</t>
        </is>
      </c>
      <c r="D56" s="35" t="n">
        <v>250</v>
      </c>
      <c r="E56" s="6" t="inlineStr">
        <is>
          <t>₹/container</t>
        </is>
      </c>
      <c r="F56" s="7" t="inlineStr">
        <is>
          <t>2 per DP</t>
        </is>
      </c>
    </row>
    <row r="57">
      <c r="B57" s="4" t="inlineStr">
        <is>
          <t>food.water_containers_per_dp</t>
        </is>
      </c>
      <c r="C57" s="4" t="inlineStr">
        <is>
          <t>Water containers per DP</t>
        </is>
      </c>
      <c r="D57" s="35" t="n">
        <v>2</v>
      </c>
      <c r="E57" s="6" t="inlineStr">
        <is>
          <t>containers/DP</t>
        </is>
      </c>
      <c r="F57" s="7" t="inlineStr"/>
    </row>
    <row r="58">
      <c r="B58" s="4" t="inlineStr">
        <is>
          <t>food.serving_kit_per_kitchen</t>
        </is>
      </c>
      <c r="C58" s="4" t="inlineStr">
        <is>
          <t>Serving kit (per kitchen)</t>
        </is>
      </c>
      <c r="D58" s="35" t="n">
        <v>85000</v>
      </c>
      <c r="E58" s="6" t="inlineStr">
        <is>
          <t>₹/kitchen</t>
        </is>
      </c>
      <c r="F58" s="7" t="inlineStr">
        <is>
          <t>Casseroles + vessels + spoons + chimta</t>
        </is>
      </c>
    </row>
    <row r="59">
      <c r="B59" s="4" t="inlineStr">
        <is>
          <t>food.kitchen_equipment_one_time</t>
        </is>
      </c>
      <c r="C59" s="4" t="inlineStr">
        <is>
          <t>Kitchen equipment (in-house only)</t>
        </is>
      </c>
      <c r="D59" s="35" t="n">
        <v>0</v>
      </c>
      <c r="E59" s="6" t="inlineStr">
        <is>
          <t>₹/kitchen</t>
        </is>
      </c>
      <c r="F59" s="7" t="inlineStr">
        <is>
          <t>Set to ₹75.39L for in-house; 0 vendor-procured</t>
        </is>
      </c>
    </row>
  </sheetData>
  <mergeCells count="10">
    <mergeCell ref="B29:F29"/>
    <mergeCell ref="B7:F7"/>
    <mergeCell ref="B39:F39"/>
    <mergeCell ref="B2:F2"/>
    <mergeCell ref="B19:F19"/>
    <mergeCell ref="B5:F5"/>
    <mergeCell ref="B37:F37"/>
    <mergeCell ref="B31:F31"/>
    <mergeCell ref="B1:F1"/>
    <mergeCell ref="B52:F5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C19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92" customWidth="1" min="3" max="3"/>
  </cols>
  <sheetData>
    <row r="1">
      <c r="B1" s="1" t="inlineStr">
        <is>
          <t>Assumptions &amp; logic</t>
        </is>
      </c>
    </row>
    <row r="3" ht="38" customHeight="1">
      <c r="B3" s="41" t="inlineStr">
        <is>
          <t>Daily shift length</t>
        </is>
      </c>
      <c r="C3" s="4" t="inlineStr">
        <is>
          <t>RP works 02:00–11:00 = 9 hours. Kitchen morning + dispatch + truck-follow + independent DP rounds + reconciliation + daily wrap. See SOP §2.</t>
        </is>
      </c>
    </row>
    <row r="4" ht="38" customHeight="1">
      <c r="B4" s="41" t="inlineStr">
        <is>
          <t>DPs observable per RP per day</t>
        </is>
      </c>
      <c r="C4" s="4" t="inlineStr">
        <is>
          <t>Default 6: 3 DPs while shadowing one truck (truck serves ~3 DPs per route) + 3 more during independent rounds 07:30–09:30. Hard ceiling; do not raise without reducing dwell-time below 15 min/DP.</t>
        </is>
      </c>
    </row>
    <row r="5" ht="38" customHeight="1">
      <c r="B5" s="41" t="inlineStr">
        <is>
          <t>DP coverage rule</t>
        </is>
      </c>
      <c r="C5" s="4" t="inlineStr">
        <is>
          <t>Every DP must be observed during service at least twice per week. Below 2 we lose quality signal; above 3 the SOP becomes inspection theatre.</t>
        </is>
      </c>
    </row>
    <row r="6" ht="38" customHeight="1">
      <c r="B6" s="41" t="inlineStr">
        <is>
          <t>Truck rotation rule</t>
        </is>
      </c>
      <c r="C6" s="4" t="inlineStr">
        <is>
          <t>Every truck shadowed end-to-end at least twice per week, on a 6-day rolling roster.</t>
        </is>
      </c>
    </row>
    <row r="7" ht="38" customHeight="1">
      <c r="B7" s="41" t="inlineStr">
        <is>
          <t>Kitchen audit is single-kitchen per RP</t>
        </is>
      </c>
      <c r="C7" s="4" t="inlineStr">
        <is>
          <t>Pre-dawn audit + fill + FILO loading is a single physical location. Two kitchens cannot share one morning RP; staff one RP per kitchen as the floor.</t>
        </is>
      </c>
    </row>
    <row r="8" ht="38" customHeight="1">
      <c r="B8" s="41" t="inlineStr">
        <is>
          <t>Meals per truck</t>
        </is>
      </c>
      <c r="C8" s="4" t="inlineStr">
        <is>
          <t>TATA Ace × 6 containers × ~125 portions per container ≈ 750 meals/day. Edit if container count or portion size changes.</t>
        </is>
      </c>
    </row>
    <row r="9" ht="38" customHeight="1">
      <c r="B9" s="41" t="inlineStr">
        <is>
          <t>Meals per DP</t>
        </is>
      </c>
      <c r="C9" s="4" t="inlineStr">
        <is>
          <t>Default 300 (Sampark new DPs). CFAR legacy DPs run 150–200; new DPs 200. For a mixed-grant kitchen, use a weighted average.</t>
        </is>
      </c>
    </row>
    <row r="10" ht="38" customHeight="1">
      <c r="B10" s="41" t="inlineStr">
        <is>
          <t>Headroom buffer</t>
        </is>
      </c>
      <c r="C10" s="4" t="inlineStr">
        <is>
          <t>Multiplier on RP count to absorb monsoon, illness, training, leave. Default 1.10 (10%). Use 1.15 in June–September Bangalore monsoon months. Do not go below 1.05.</t>
        </is>
      </c>
    </row>
    <row r="11" ht="38" customHeight="1">
      <c r="B11" s="41" t="inlineStr">
        <is>
          <t>Working days per RP per month</t>
        </is>
      </c>
      <c r="C11" s="4" t="inlineStr">
        <is>
          <t>Default 26 (Sunday off, 4–5 Sundays per month). If the programme moves to 7-day ops, RPs rotate so each still works ≤ 6 days/week.</t>
        </is>
      </c>
    </row>
    <row r="12" ht="38" customHeight="1">
      <c r="B12" s="41" t="inlineStr">
        <is>
          <t>RP transport (cost model)</t>
        </is>
      </c>
      <c r="C12" s="4" t="inlineStr">
        <is>
          <t>Night cab (home → kitchen) every working day = 26 × ₹350. Two-wheeler allowance covers daytime fuel + maintenance. Buffer cab is at ZL discretion: monsoon, illness, late return. See SOP §1.3.</t>
        </is>
      </c>
    </row>
    <row r="13" ht="38" customHeight="1">
      <c r="B13" s="41" t="inlineStr">
        <is>
          <t>Staffing-model hours/day</t>
        </is>
      </c>
      <c r="C13" s="4" t="inlineStr">
        <is>
          <t>Hours/day per role are observed averages, not contracted hours. Most kitchen roles are paid monthly regardless of actual hours — these figures drive the person-hours rollup, not payroll.</t>
        </is>
      </c>
    </row>
    <row r="14" ht="38" customHeight="1">
      <c r="B14" s="41" t="inlineStr">
        <is>
          <t>Staffing-model ratios (source: lib/budget-costs.ts)</t>
        </is>
      </c>
      <c r="C14" s="4" t="inlineStr">
        <is>
          <t>Kitchen Manager 1:10K, Warehouse Manager 1:10K, Cook 1:1,667 (6 per 10K), Helper Cook 1:1,112 (9), Kitchen Loader 1:1,667 (6), Chopping &amp; Cleaning 1:667 (15), Food Loader 1:667 (15), Housekeeping 1:667 (15), DP Staff 2 per DP, Truck Driver 1 per truck (rolled into ₹53,100/truck/mo). Coordinators (Programme/Procurement/Delivery) fixed at 1 each up to ~25K meals/day.</t>
        </is>
      </c>
    </row>
    <row r="15" ht="38" customHeight="1">
      <c r="B15" s="41" t="inlineStr">
        <is>
          <t>Truck cost is all-in</t>
        </is>
      </c>
      <c r="C15" s="4" t="inlineStr">
        <is>
          <t>₹53,100/truck/mo from food.truck_cost_per_month covers driver + fuel + maintenance + vehicle rental (JustDelivery). Do not separately add driver salary.</t>
        </is>
      </c>
    </row>
    <row r="16" ht="38" customHeight="1">
      <c r="B16" s="41" t="inlineStr">
        <is>
          <t>DP Staff are part-time</t>
        </is>
      </c>
      <c r="C16" s="4" t="inlineStr">
        <is>
          <t>₹6,000/staff/month at 2 staff per DP, ~3 hours/day. Bangalore rate; revise for other cities.</t>
        </is>
      </c>
    </row>
    <row r="17" ht="38" customHeight="1">
      <c r="B17" s="41" t="inlineStr">
        <is>
          <t>Food cost per meal — vendor vs in-house</t>
        </is>
      </c>
      <c r="C17" s="4" t="inlineStr">
        <is>
          <t>Defaults to Sampark/Ramani ₹29.40 (vendor). For CFAR/Wipro use ₹20.00. For in-house kitchen use the ₹21.91 reference plus add the kitchen_equipment_one_time capex line.</t>
        </is>
      </c>
    </row>
    <row r="18" ht="38" customHeight="1">
      <c r="B18" s="41" t="inlineStr">
        <is>
          <t>Cost registry sheet is a mirror</t>
        </is>
      </c>
      <c r="C18" s="4" t="inlineStr">
        <is>
          <t>When any value changes in lib/budget-costs.ts, update the Cost registry sheet AND the matching default on Staffing model. Cost registry has no formulas — it is reference only.</t>
        </is>
      </c>
    </row>
    <row r="19" ht="38" customHeight="1">
      <c r="B19" s="41" t="inlineStr">
        <is>
          <t>When to re-run</t>
        </is>
      </c>
      <c r="C19" s="4" t="inlineStr">
        <is>
          <t>Whenever any of: meals/day target changes, a new kitchen is added, fleet composition changes, DP network grows past +30%, RP shift hours change, OR any value in lib/budget-costs.ts changes. Also re-run before every quarterly grant review.</t>
        </is>
      </c>
    </row>
  </sheetData>
  <mergeCells count="1"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2026-05-29T06:51:39Z</dcterms:created>
  <dcterms:modified xmlns:dcterms="http://purl.org/dc/terms/" xmlns:xsi="http://www.w3.org/2001/XMLSchema-instance" xsi:type="dcterms:W3CDTF">2026-05-29T06:51:39Z</dcterms:modified>
</cp:coreProperties>
</file>